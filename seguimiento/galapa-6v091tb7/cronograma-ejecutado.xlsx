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EJECUTADO" sheetId="1" state="visible" r:id="rId1"/>
  </sheets>
  <definedNames>
    <definedName name="_xlnm.Print_Titles" localSheetId="0">'CRONOGRAMA EJECUTADO'!$5:$6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 h:mm:ss"/>
    <numFmt numFmtId="166" formatCode="dd/mm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32D46"/>
      <sz val="10"/>
    </font>
    <font>
      <name val="Arial"/>
      <b val="1"/>
      <color rgb="00132D46"/>
      <sz val="14"/>
    </font>
    <font>
      <name val="Arial"/>
      <b val="1"/>
      <color rgb="00132D46"/>
      <sz val="9"/>
    </font>
    <font>
      <name val="Arial"/>
      <b val="1"/>
      <color rgb="00132D46"/>
      <sz val="11"/>
    </font>
    <font>
      <name val="Arial"/>
      <color rgb="00132D46"/>
      <sz val="9"/>
    </font>
    <font>
      <name val="Arial"/>
      <color rgb="0052667A"/>
      <sz val="8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32D46"/>
      </patternFill>
    </fill>
    <fill>
      <patternFill patternType="solid">
        <fgColor rgb="00E3E9EF"/>
      </patternFill>
    </fill>
    <fill>
      <patternFill patternType="solid">
        <fgColor rgb="00EAF1F5"/>
      </patternFill>
    </fill>
  </fills>
  <borders count="2">
    <border>
      <left/>
      <right/>
      <top/>
      <bottom/>
      <diagonal/>
    </border>
    <border>
      <left style="thin">
        <color rgb="00D5DDE2"/>
      </left>
      <right style="thin">
        <color rgb="00D5DDE2"/>
      </right>
      <top style="thin">
        <color rgb="00D5DDE2"/>
      </top>
      <bottom style="thin">
        <color rgb="00D5DD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164" fontId="5" fillId="2" borderId="0" applyAlignment="1" pivotButton="0" quotePrefix="0" xfId="0">
      <alignment horizontal="left"/>
    </xf>
    <xf numFmtId="9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10" fontId="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7" fontId="5" fillId="5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1F4E85"/>
      </font>
      <fill>
        <patternFill patternType="solid">
          <fgColor rgb="00D3E1F1"/>
          <bgColor rgb="00D3E1F1"/>
        </patternFill>
      </fill>
    </dxf>
    <dxf>
      <font>
        <b val="1"/>
        <color rgb="00FFFFFF"/>
      </font>
      <fill>
        <patternFill patternType="solid">
          <fgColor rgb="0000A577"/>
          <bgColor rgb="0000A577"/>
        </patternFill>
      </fill>
    </dxf>
    <dxf>
      <font>
        <b val="1"/>
        <color rgb="009B1C1C"/>
      </font>
      <fill>
        <patternFill patternType="solid">
          <fgColor rgb="00F8D7D3"/>
          <b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51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2" customWidth="1" min="2" max="2"/>
    <col width="9" customWidth="1" min="3" max="3"/>
    <col width="7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6.4" customWidth="1" min="19" max="19"/>
    <col width="6.4" customWidth="1" min="20" max="20"/>
    <col width="6.4" customWidth="1" min="21" max="21"/>
    <col width="6.4" customWidth="1" min="22" max="22"/>
    <col width="6.4" customWidth="1" min="23" max="23"/>
    <col width="6.4" customWidth="1" min="24" max="24"/>
    <col width="6.4" customWidth="1" min="25" max="25"/>
    <col width="6.4" customWidth="1" min="26" max="26"/>
    <col width="6.4" customWidth="1" min="27" max="27"/>
    <col width="6.4" customWidth="1" min="28" max="28"/>
    <col width="6.4" customWidth="1" min="29" max="29"/>
    <col width="8" customWidth="1" min="30" max="30"/>
  </cols>
  <sheetData>
    <row r="1" ht="24" customHeight="1">
      <c r="A1" s="1" t="inlineStr">
        <is>
          <t>NMH ENGINEERING S.A.S.</t>
        </is>
      </c>
      <c r="B1" s="2" t="inlineStr">
        <is>
          <t>CRONOGRAMA DE OBRA — EJECUTADO</t>
        </is>
      </c>
    </row>
    <row r="2">
      <c r="A2" s="3" t="inlineStr">
        <is>
          <t>PROYECTO</t>
        </is>
      </c>
      <c r="B2" s="4" t="inlineStr">
        <is>
          <t>MUNICIPIO DE GALAPA — ATLÁNTICO</t>
        </is>
      </c>
    </row>
    <row r="3">
      <c r="A3" s="3" t="inlineStr">
        <is>
          <t>FECHA DE CORTE</t>
        </is>
      </c>
      <c r="B3" s="5" t="n"/>
      <c r="E3" s="3" t="inlineStr">
        <is>
          <t>META DE AVANCE (% DEL ALCANCE TOTAL)</t>
        </is>
      </c>
      <c r="O3" s="6" t="n">
        <v>0.45</v>
      </c>
    </row>
    <row r="4" ht="34" customHeight="1">
      <c r="A4" s="3" t="inlineStr">
        <is>
          <t>CÓMO SE LLENA</t>
        </is>
      </c>
      <c r="B4" s="7" t="inlineStr">
        <is>
          <t>Número = avance ejecutado del ítem en esa semana (25 = 25%). P = semana programada. Fecha de corte vacía = última semana con avance. Guarde el archivo con el mismo nombre y súbalo a GitHub: la página se actualiza sola.</t>
        </is>
      </c>
      <c r="E4" s="3" t="inlineStr">
        <is>
          <t>FECHA DE LA META</t>
        </is>
      </c>
      <c r="O4" s="8" t="n">
        <v>46333</v>
      </c>
    </row>
    <row r="5">
      <c r="B5" s="9" t="inlineStr">
        <is>
          <t>SEMANA DEL (LUNES)</t>
        </is>
      </c>
      <c r="E5" s="10" t="n">
        <v>46216</v>
      </c>
      <c r="F5" s="10" t="n">
        <v>46223</v>
      </c>
      <c r="G5" s="10" t="n">
        <v>46230</v>
      </c>
      <c r="H5" s="10" t="n">
        <v>46237</v>
      </c>
      <c r="I5" s="10" t="n">
        <v>46244</v>
      </c>
      <c r="J5" s="10" t="n">
        <v>46251</v>
      </c>
      <c r="K5" s="10" t="n">
        <v>46258</v>
      </c>
      <c r="L5" s="10" t="n">
        <v>46265</v>
      </c>
      <c r="M5" s="10" t="n">
        <v>46272</v>
      </c>
      <c r="N5" s="10" t="n">
        <v>46279</v>
      </c>
      <c r="O5" s="10" t="n">
        <v>46286</v>
      </c>
      <c r="P5" s="10" t="n">
        <v>46293</v>
      </c>
      <c r="Q5" s="10" t="n">
        <v>46300</v>
      </c>
      <c r="R5" s="10" t="n">
        <v>46307</v>
      </c>
      <c r="S5" s="10" t="n">
        <v>46314</v>
      </c>
      <c r="T5" s="10" t="n">
        <v>46321</v>
      </c>
      <c r="U5" s="10" t="n">
        <v>46328</v>
      </c>
      <c r="V5" s="10" t="n">
        <v>46335</v>
      </c>
      <c r="W5" s="10" t="n">
        <v>46342</v>
      </c>
      <c r="X5" s="10" t="n">
        <v>46349</v>
      </c>
      <c r="Y5" s="10" t="n">
        <v>46356</v>
      </c>
      <c r="Z5" s="10" t="n">
        <v>46363</v>
      </c>
      <c r="AA5" s="10" t="n">
        <v>46370</v>
      </c>
      <c r="AB5" s="10" t="n">
        <v>46377</v>
      </c>
      <c r="AC5" s="10" t="n">
        <v>46384</v>
      </c>
    </row>
    <row r="6" ht="26" customHeight="1">
      <c r="A6" s="11" t="inlineStr">
        <is>
          <t>ÍTEM</t>
        </is>
      </c>
      <c r="B6" s="11" t="inlineStr">
        <is>
          <t>ACTIVIDAD</t>
        </is>
      </c>
      <c r="C6" s="11" t="inlineStr">
        <is>
          <t>% INC.</t>
        </is>
      </c>
      <c r="D6" s="11" t="inlineStr">
        <is>
          <t>DUR (días)</t>
        </is>
      </c>
      <c r="E6" s="11" t="inlineStr">
        <is>
          <t>S1</t>
        </is>
      </c>
      <c r="F6" s="11" t="inlineStr">
        <is>
          <t>S2</t>
        </is>
      </c>
      <c r="G6" s="11" t="inlineStr">
        <is>
          <t>S3</t>
        </is>
      </c>
      <c r="H6" s="11" t="inlineStr">
        <is>
          <t>S4</t>
        </is>
      </c>
      <c r="I6" s="11" t="inlineStr">
        <is>
          <t>S5</t>
        </is>
      </c>
      <c r="J6" s="11" t="inlineStr">
        <is>
          <t>S6</t>
        </is>
      </c>
      <c r="K6" s="11" t="inlineStr">
        <is>
          <t>S7</t>
        </is>
      </c>
      <c r="L6" s="11" t="inlineStr">
        <is>
          <t>S8</t>
        </is>
      </c>
      <c r="M6" s="11" t="inlineStr">
        <is>
          <t>S9</t>
        </is>
      </c>
      <c r="N6" s="11" t="inlineStr">
        <is>
          <t>S10</t>
        </is>
      </c>
      <c r="O6" s="11" t="inlineStr">
        <is>
          <t>S11</t>
        </is>
      </c>
      <c r="P6" s="11" t="inlineStr">
        <is>
          <t>S12</t>
        </is>
      </c>
      <c r="Q6" s="11" t="inlineStr">
        <is>
          <t>S13</t>
        </is>
      </c>
      <c r="R6" s="11" t="inlineStr">
        <is>
          <t>S14</t>
        </is>
      </c>
      <c r="S6" s="11" t="inlineStr">
        <is>
          <t>S15</t>
        </is>
      </c>
      <c r="T6" s="11" t="inlineStr">
        <is>
          <t>S16</t>
        </is>
      </c>
      <c r="U6" s="11" t="inlineStr">
        <is>
          <t>S17</t>
        </is>
      </c>
      <c r="V6" s="11" t="inlineStr">
        <is>
          <t>S18</t>
        </is>
      </c>
      <c r="W6" s="11" t="inlineStr">
        <is>
          <t>S19</t>
        </is>
      </c>
      <c r="X6" s="11" t="inlineStr">
        <is>
          <t>S20</t>
        </is>
      </c>
      <c r="Y6" s="11" t="inlineStr">
        <is>
          <t>S21</t>
        </is>
      </c>
      <c r="Z6" s="11" t="inlineStr">
        <is>
          <t>S22</t>
        </is>
      </c>
      <c r="AA6" s="11" t="inlineStr">
        <is>
          <t>S23</t>
        </is>
      </c>
      <c r="AB6" s="11" t="inlineStr">
        <is>
          <t>S24</t>
        </is>
      </c>
      <c r="AC6" s="11" t="inlineStr">
        <is>
          <t>S25</t>
        </is>
      </c>
      <c r="AD6" s="11" t="inlineStr">
        <is>
          <t>Σ EJEC.</t>
        </is>
      </c>
    </row>
    <row r="7">
      <c r="A7" s="12" t="inlineStr">
        <is>
          <t>1</t>
        </is>
      </c>
      <c r="B7" s="13" t="inlineStr">
        <is>
          <t>ETAPA PRELIMINAR: LOCALIZACIÓN Y REPLANTEO</t>
        </is>
      </c>
      <c r="C7" s="14">
        <f>SUM(C8:C8)</f>
        <v/>
      </c>
      <c r="D7" s="15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17" t="inlineStr">
        <is>
          <t>1.1</t>
        </is>
      </c>
      <c r="B8" s="18" t="inlineStr">
        <is>
          <t>LOCALIZACIÓN, TRAZADO Y REPLANTEO</t>
        </is>
      </c>
      <c r="C8" s="19" t="n">
        <v>0.005776948864897721</v>
      </c>
      <c r="D8" s="20" t="n">
        <v>12</v>
      </c>
      <c r="E8" s="21" t="inlineStr">
        <is>
          <t>P</t>
        </is>
      </c>
      <c r="F8" s="21" t="inlineStr">
        <is>
          <t>P</t>
        </is>
      </c>
      <c r="G8" s="21" t="inlineStr">
        <is>
          <t>P</t>
        </is>
      </c>
      <c r="H8" s="21" t="n">
        <v>0.5</v>
      </c>
      <c r="I8" s="21" t="n">
        <v>0.5</v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2">
        <f>SUM(E8:AC8)</f>
        <v/>
      </c>
    </row>
    <row r="9">
      <c r="A9" s="12" t="inlineStr">
        <is>
          <t>2</t>
        </is>
      </c>
      <c r="B9" s="13" t="inlineStr">
        <is>
          <t>ADECUACIÓN DEL TERRENO: CORTES Y RELLENOS</t>
        </is>
      </c>
      <c r="C9" s="14">
        <f>SUM(C10:C14)</f>
        <v/>
      </c>
      <c r="D9" s="15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17" t="inlineStr">
        <is>
          <t>2.1</t>
        </is>
      </c>
      <c r="B10" s="18" t="inlineStr">
        <is>
          <t>EXCAVACIÓN A MANO EN MATERIAL SIN CLASIFICAR</t>
        </is>
      </c>
      <c r="C10" s="19" t="n">
        <v>0.005902235989382405</v>
      </c>
      <c r="D10" s="20" t="n">
        <v>20</v>
      </c>
      <c r="E10" s="21" t="n"/>
      <c r="F10" s="21" t="n"/>
      <c r="G10" s="21" t="inlineStr">
        <is>
          <t>P</t>
        </is>
      </c>
      <c r="H10" s="21" t="inlineStr">
        <is>
          <t>P</t>
        </is>
      </c>
      <c r="I10" s="21" t="inlineStr">
        <is>
          <t>P</t>
        </is>
      </c>
      <c r="J10" s="21" t="n">
        <v>0.4</v>
      </c>
      <c r="K10" s="21" t="n">
        <v>0.35</v>
      </c>
      <c r="L10" s="21" t="n">
        <v>0.25</v>
      </c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2">
        <f>SUM(E10:AC10)</f>
        <v/>
      </c>
    </row>
    <row r="11">
      <c r="A11" s="17" t="inlineStr">
        <is>
          <t>2.2</t>
        </is>
      </c>
      <c r="B11" s="18" t="inlineStr">
        <is>
          <t>SUMINISTRO E INSTALACIÓN DE SUB-BASE GRANULAR DE MEJORAMIENTO PARA BASE EN PISTA DE TROTE CON ASFALTO FRÍO</t>
        </is>
      </c>
      <c r="C11" s="19" t="n">
        <v>0.004065316542697133</v>
      </c>
      <c r="D11" s="20" t="n">
        <v>6</v>
      </c>
      <c r="E11" s="21" t="n"/>
      <c r="F11" s="21" t="n"/>
      <c r="G11" s="21" t="inlineStr">
        <is>
          <t>P</t>
        </is>
      </c>
      <c r="H11" s="21" t="inlineStr">
        <is>
          <t>P</t>
        </is>
      </c>
      <c r="I11" s="21" t="n">
        <v>0.5</v>
      </c>
      <c r="J11" s="21" t="n">
        <v>0.5</v>
      </c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2">
        <f>SUM(E11:AC11)</f>
        <v/>
      </c>
    </row>
    <row r="12">
      <c r="A12" s="17" t="inlineStr">
        <is>
          <t>2.3</t>
        </is>
      </c>
      <c r="B12" s="18" t="inlineStr">
        <is>
          <t>RELLENO Y COMPACTACIÓN CON MATERIAL SELECCIONADO PROVENIENTE DE LA EXCAVACIÓN DE CIMENTACIÓN</t>
        </is>
      </c>
      <c r="C12" s="19" t="n">
        <v>0.004062433737372328</v>
      </c>
      <c r="D12" s="20" t="n">
        <v>13</v>
      </c>
      <c r="E12" s="21" t="n"/>
      <c r="F12" s="21" t="n"/>
      <c r="G12" s="21" t="inlineStr">
        <is>
          <t>P</t>
        </is>
      </c>
      <c r="H12" s="21" t="inlineStr">
        <is>
          <t>P</t>
        </is>
      </c>
      <c r="I12" s="21" t="inlineStr">
        <is>
          <t>P</t>
        </is>
      </c>
      <c r="J12" s="21" t="n"/>
      <c r="K12" s="21" t="n"/>
      <c r="L12" s="21" t="n"/>
      <c r="M12" s="21" t="n"/>
      <c r="N12" s="21" t="n">
        <v>0.7</v>
      </c>
      <c r="O12" s="21" t="n">
        <v>0.3</v>
      </c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2">
        <f>SUM(E12:AC12)</f>
        <v/>
      </c>
    </row>
    <row r="13">
      <c r="A13" s="17" t="inlineStr">
        <is>
          <t>2.4</t>
        </is>
      </c>
      <c r="B13" s="18" t="inlineStr">
        <is>
          <t>SUMINISTRO E INSTALACIÓN DE BASE GRANULAR DE MEJORAMIENTO PARA BASE EN PISTA DE TROTE CON ASFALTO FRÍO</t>
        </is>
      </c>
      <c r="C13" s="19" t="n">
        <v>0.004689775135253645</v>
      </c>
      <c r="D13" s="20" t="n">
        <v>7</v>
      </c>
      <c r="E13" s="21" t="n"/>
      <c r="F13" s="21" t="n"/>
      <c r="G13" s="21" t="inlineStr">
        <is>
          <t>P</t>
        </is>
      </c>
      <c r="H13" s="21" t="inlineStr">
        <is>
          <t>P</t>
        </is>
      </c>
      <c r="I13" s="21" t="n"/>
      <c r="J13" s="21" t="n"/>
      <c r="K13" s="21" t="n"/>
      <c r="L13" s="21" t="n"/>
      <c r="M13" s="21" t="n">
        <v>1</v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2">
        <f>SUM(E13:AC13)</f>
        <v/>
      </c>
    </row>
    <row r="14">
      <c r="A14" s="17" t="inlineStr">
        <is>
          <t>2.5</t>
        </is>
      </c>
      <c r="B14" s="18" t="inlineStr">
        <is>
          <t>RELLENO COMPACTADO CON MATERIAL SELECCIONADO PARA AREA DE ESPARCIMEINTO</t>
        </is>
      </c>
      <c r="C14" s="19" t="n">
        <v>0.01675976524501308</v>
      </c>
      <c r="D14" s="20" t="n">
        <v>32</v>
      </c>
      <c r="E14" s="21" t="n"/>
      <c r="F14" s="21" t="n"/>
      <c r="G14" s="21" t="inlineStr">
        <is>
          <t>P</t>
        </is>
      </c>
      <c r="H14" s="21" t="inlineStr">
        <is>
          <t>P</t>
        </is>
      </c>
      <c r="I14" s="21" t="n">
        <v>0.5</v>
      </c>
      <c r="J14" s="21" t="n">
        <v>0.5</v>
      </c>
      <c r="K14" s="21" t="inlineStr">
        <is>
          <t>P</t>
        </is>
      </c>
      <c r="L14" s="21" t="inlineStr">
        <is>
          <t>P</t>
        </is>
      </c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2">
        <f>SUM(E14:AC14)</f>
        <v/>
      </c>
    </row>
    <row r="15">
      <c r="A15" s="12" t="inlineStr">
        <is>
          <t>3</t>
        </is>
      </c>
      <c r="B15" s="13" t="inlineStr">
        <is>
          <t>ESTRUCTURA DE CONCRETO Y PAVIMENTOS</t>
        </is>
      </c>
      <c r="C15" s="14">
        <f>SUM(C16:C32)</f>
        <v/>
      </c>
      <c r="D15" s="15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17" t="inlineStr">
        <is>
          <t>3.1</t>
        </is>
      </c>
      <c r="B16" s="18" t="inlineStr">
        <is>
          <t>SUMINISTRO E INSTALACIÓN DE CONCRETO DE 2.000 PSI FUNDIDO EN SITIO PARA SOLADOS</t>
        </is>
      </c>
      <c r="C16" s="19" t="n">
        <v>0.004724037223531027</v>
      </c>
      <c r="D16" s="20" t="n">
        <v>10</v>
      </c>
      <c r="E16" s="21" t="n"/>
      <c r="F16" s="21" t="n"/>
      <c r="G16" s="21" t="n"/>
      <c r="H16" s="21" t="n"/>
      <c r="I16" s="21" t="n"/>
      <c r="J16" s="21" t="inlineStr">
        <is>
          <t>P</t>
        </is>
      </c>
      <c r="K16" s="21" t="n">
        <v>0.75</v>
      </c>
      <c r="L16" s="21" t="n">
        <v>0.25</v>
      </c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2">
        <f>SUM(E16:AC16)</f>
        <v/>
      </c>
    </row>
    <row r="17">
      <c r="A17" s="17" t="inlineStr">
        <is>
          <t>3.2</t>
        </is>
      </c>
      <c r="B17" s="18" t="inlineStr">
        <is>
          <t>SUMINISTRO E INSTALACIÓN DE CONCRETO DE 3.000 PSI FUNDIDO EN SITIO PARA ZAPATAS AISLADAS</t>
        </is>
      </c>
      <c r="C17" s="19" t="n">
        <v>0.02364130236996163</v>
      </c>
      <c r="D17" s="20" t="n">
        <v>11</v>
      </c>
      <c r="E17" s="21" t="n"/>
      <c r="F17" s="21" t="n"/>
      <c r="G17" s="21" t="n"/>
      <c r="H17" s="21" t="n"/>
      <c r="I17" s="21" t="n"/>
      <c r="J17" s="21" t="n"/>
      <c r="K17" s="21" t="n"/>
      <c r="L17" s="21" t="n">
        <v>0.41</v>
      </c>
      <c r="M17" s="21" t="n">
        <v>0.59</v>
      </c>
      <c r="N17" s="21" t="inlineStr">
        <is>
          <t>P</t>
        </is>
      </c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2">
        <f>SUM(E17:AC17)</f>
        <v/>
      </c>
    </row>
    <row r="18">
      <c r="A18" s="17" t="inlineStr">
        <is>
          <t>3.3</t>
        </is>
      </c>
      <c r="B18" s="18" t="inlineStr">
        <is>
          <t>SUMINISTRO E INSTALACIÓN DE CONCRETO DE 3.000 PSI FUNDIDO EN SITIO PARA VIGAS DE AMARRE DE CIMENTACIÓN</t>
        </is>
      </c>
      <c r="C18" s="19" t="n">
        <v>0.01453562742323641</v>
      </c>
      <c r="D18" s="20" t="n">
        <v>9</v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>
        <v>1</v>
      </c>
      <c r="O18" s="21" t="inlineStr">
        <is>
          <t>P</t>
        </is>
      </c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2">
        <f>SUM(E18:AC18)</f>
        <v/>
      </c>
    </row>
    <row r="19">
      <c r="A19" s="17" t="inlineStr">
        <is>
          <t>3.4</t>
        </is>
      </c>
      <c r="B19" s="18" t="inlineStr">
        <is>
          <t>SUMINISTRO E INSTALACIÓN DE CONCRETO DE 3.000 PSI FUNDIDO EN SITIO PARA COLUMNAS</t>
        </is>
      </c>
      <c r="C19" s="19" t="n">
        <v>0.01751473925835689</v>
      </c>
      <c r="D19" s="20" t="n">
        <v>11</v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inlineStr">
        <is>
          <t>P</t>
        </is>
      </c>
      <c r="P19" s="21" t="n">
        <v>0.613829787234042</v>
      </c>
      <c r="Q19" s="21" t="inlineStr">
        <is>
          <t>P</t>
        </is>
      </c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2">
        <f>SUM(E19:AC19)</f>
        <v/>
      </c>
    </row>
    <row r="20">
      <c r="A20" s="17" t="inlineStr">
        <is>
          <t>3.5</t>
        </is>
      </c>
      <c r="B20" s="18" t="inlineStr">
        <is>
          <t>SUMINISTRO E INSTALACIÓN DE CONCRETO DE 3.000 PSI FUNDIDO EN SITIO PARA VIGAS AÉREAS</t>
        </is>
      </c>
      <c r="C20" s="19" t="n">
        <v>0.02280224231743154</v>
      </c>
      <c r="D20" s="20" t="n">
        <v>11</v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inlineStr">
        <is>
          <t>P</t>
        </is>
      </c>
      <c r="R20" s="21" t="n">
        <v>0.6</v>
      </c>
      <c r="S20" s="21" t="inlineStr">
        <is>
          <t>P</t>
        </is>
      </c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2">
        <f>SUM(E20:AC20)</f>
        <v/>
      </c>
    </row>
    <row r="21">
      <c r="A21" s="17" t="inlineStr">
        <is>
          <t>3.6</t>
        </is>
      </c>
      <c r="B21" s="18" t="inlineStr">
        <is>
          <t>CORTE, FIGURADO Y ARMADO DE ACERO DE REFUERZO CORRUGADO PDR-60 FY=420 MPA EN ZAPATAS</t>
        </is>
      </c>
      <c r="C21" s="19" t="n">
        <v>0.006825238677847414</v>
      </c>
      <c r="D21" s="20" t="n">
        <v>13</v>
      </c>
      <c r="E21" s="21" t="n"/>
      <c r="F21" s="21" t="n"/>
      <c r="G21" s="21" t="n"/>
      <c r="H21" s="21" t="n"/>
      <c r="I21" s="21" t="n"/>
      <c r="J21" s="21" t="n"/>
      <c r="K21" s="21" t="n">
        <v>1</v>
      </c>
      <c r="L21" s="21" t="inlineStr">
        <is>
          <t>P</t>
        </is>
      </c>
      <c r="M21" s="21" t="inlineStr">
        <is>
          <t>P</t>
        </is>
      </c>
      <c r="N21" s="21" t="inlineStr">
        <is>
          <t>P</t>
        </is>
      </c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2">
        <f>SUM(E21:AC21)</f>
        <v/>
      </c>
    </row>
    <row r="22">
      <c r="A22" s="17" t="inlineStr">
        <is>
          <t>3.7</t>
        </is>
      </c>
      <c r="B22" s="18" t="inlineStr">
        <is>
          <t>CORTE, FIGURADO Y ARMADO DE ACERO DE REFUERZO CORRUGADO PDR-60 FY=420 MPA EN VIGAS DE CIMENTACIÓN</t>
        </is>
      </c>
      <c r="C22" s="19" t="n">
        <v>0.01625626700928477</v>
      </c>
      <c r="D22" s="20" t="n">
        <v>15</v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>
        <v>0.52</v>
      </c>
      <c r="N22" s="21" t="n">
        <v>0.48</v>
      </c>
      <c r="O22" s="21" t="inlineStr">
        <is>
          <t>P</t>
        </is>
      </c>
      <c r="P22" s="21" t="inlineStr">
        <is>
          <t>P</t>
        </is>
      </c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2">
        <f>SUM(E22:AC22)</f>
        <v/>
      </c>
    </row>
    <row r="23">
      <c r="A23" s="17" t="inlineStr">
        <is>
          <t>3.8</t>
        </is>
      </c>
      <c r="B23" s="18" t="inlineStr">
        <is>
          <t>CORTE, FIGURADO Y ARMADO DE ACERO DE REFUERZO CORRUGADO PDR-60 FY=420 MPA EN COLUMNAS</t>
        </is>
      </c>
      <c r="C23" s="19" t="n">
        <v>0.01620029078709653</v>
      </c>
      <c r="D23" s="20" t="n">
        <v>15</v>
      </c>
      <c r="E23" s="21" t="n"/>
      <c r="F23" s="21" t="n"/>
      <c r="G23" s="21" t="n"/>
      <c r="H23" s="21" t="n"/>
      <c r="I23" s="21" t="n"/>
      <c r="J23" s="21" t="n"/>
      <c r="K23" s="21" t="n">
        <v>0.58</v>
      </c>
      <c r="L23" s="21" t="n">
        <v>0.42</v>
      </c>
      <c r="M23" s="21" t="n"/>
      <c r="N23" s="21" t="n"/>
      <c r="O23" s="21" t="inlineStr">
        <is>
          <t>P</t>
        </is>
      </c>
      <c r="P23" s="21" t="inlineStr">
        <is>
          <t>P</t>
        </is>
      </c>
      <c r="Q23" s="21" t="inlineStr">
        <is>
          <t>P</t>
        </is>
      </c>
      <c r="R23" s="21" t="inlineStr">
        <is>
          <t>P</t>
        </is>
      </c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2">
        <f>SUM(E23:AC23)</f>
        <v/>
      </c>
    </row>
    <row r="24">
      <c r="A24" s="17" t="inlineStr">
        <is>
          <t>3.9</t>
        </is>
      </c>
      <c r="B24" s="18" t="inlineStr">
        <is>
          <t>CORTE, FIGURADO Y ARMADO DE ACERO DE REFUERZO CORRUGADO PDR-60 FY=420 MPA EN VIGAS AÉREAS</t>
        </is>
      </c>
      <c r="C24" s="19" t="n">
        <v>0.01237460553271487</v>
      </c>
      <c r="D24" s="20" t="n">
        <v>11</v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>
        <v>0.86</v>
      </c>
      <c r="Q24" s="21" t="n">
        <v>0.14</v>
      </c>
      <c r="R24" s="21" t="inlineStr">
        <is>
          <t>P</t>
        </is>
      </c>
      <c r="S24" s="21" t="inlineStr">
        <is>
          <t>P</t>
        </is>
      </c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2">
        <f>SUM(E24:AC24)</f>
        <v/>
      </c>
    </row>
    <row r="25">
      <c r="A25" s="17" t="inlineStr">
        <is>
          <t>3.10</t>
        </is>
      </c>
      <c r="B25" s="18" t="inlineStr">
        <is>
          <t>SUMINISTRO E INSTALACIÓN DE LOSA EN CONCRETO E=0.075 M PARA PLACA DE TANQUE, CON MALLA ELECTROSOLDADA XX-295</t>
        </is>
      </c>
      <c r="C25" s="19" t="n">
        <v>0.0001313440432574957</v>
      </c>
      <c r="D25" s="20" t="n">
        <v>1</v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inlineStr">
        <is>
          <t>P</t>
        </is>
      </c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2">
        <f>SUM(E25:AC25)</f>
        <v/>
      </c>
    </row>
    <row r="26">
      <c r="A26" s="17" t="inlineStr">
        <is>
          <t>3.11</t>
        </is>
      </c>
      <c r="B26" s="18" t="inlineStr">
        <is>
          <t>SUMINISTRO E INSTALACIÓN DE CONCRETO DE 4.000 PSI FUNDIDO EN SITIO PARA PLACA DE CONTRAPISO E=0.15 M, CON MALLA ELECTROSOLDADA XX-295</t>
        </is>
      </c>
      <c r="C26" s="19" t="n">
        <v>0.04321248258996001</v>
      </c>
      <c r="D26" s="20" t="n">
        <v>12</v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inlineStr">
        <is>
          <t>P</t>
        </is>
      </c>
      <c r="Q26" s="21" t="inlineStr">
        <is>
          <t>P</t>
        </is>
      </c>
      <c r="R26" s="21" t="inlineStr">
        <is>
          <t>P</t>
        </is>
      </c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2">
        <f>SUM(E26:AC26)</f>
        <v/>
      </c>
    </row>
    <row r="27">
      <c r="A27" s="17" t="inlineStr">
        <is>
          <t>3.12</t>
        </is>
      </c>
      <c r="B27" s="18" t="inlineStr">
        <is>
          <t>SUMINISTRO E INSTALACIÓN DE VIGA DE CONFINAMIENTO EN CONCRETO PARA ADOQUÍN (ACERO INCLUIDO)</t>
        </is>
      </c>
      <c r="C27" s="19" t="n">
        <v>0.01186587340261387</v>
      </c>
      <c r="D27" s="20" t="n">
        <v>9</v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>
        <v>0.510204081632653</v>
      </c>
      <c r="Q27" s="21" t="n"/>
      <c r="R27" s="21" t="n"/>
      <c r="S27" s="21" t="inlineStr">
        <is>
          <t>P</t>
        </is>
      </c>
      <c r="T27" s="21" t="inlineStr">
        <is>
          <t>P</t>
        </is>
      </c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2">
        <f>SUM(E27:AC27)</f>
        <v/>
      </c>
    </row>
    <row r="28">
      <c r="A28" s="17" t="inlineStr">
        <is>
          <t>3.13</t>
        </is>
      </c>
      <c r="B28" s="18" t="inlineStr">
        <is>
          <t>SUMINISTRO E INSTALACIÓN DE VIGA DE CONFINAMIENTO EN CONCRETO PARA PAVIMENTO ASFÁLTICO (ACERO INCLUIDO)</t>
        </is>
      </c>
      <c r="C28" s="19" t="n">
        <v>0.02002527415931426</v>
      </c>
      <c r="D28" s="20" t="n">
        <v>9</v>
      </c>
      <c r="E28" s="21" t="n"/>
      <c r="F28" s="21" t="n"/>
      <c r="G28" s="21" t="n"/>
      <c r="H28" s="21" t="inlineStr">
        <is>
          <t>P</t>
        </is>
      </c>
      <c r="I28" s="21" t="inlineStr">
        <is>
          <t>P</t>
        </is>
      </c>
      <c r="J28" s="21" t="inlineStr">
        <is>
          <t>P</t>
        </is>
      </c>
      <c r="K28" s="21" t="n"/>
      <c r="L28" s="21" t="n"/>
      <c r="M28" s="21" t="n"/>
      <c r="N28" s="21" t="n"/>
      <c r="O28" s="21" t="n"/>
      <c r="P28" s="21" t="n"/>
      <c r="Q28" s="21" t="n"/>
      <c r="R28" s="21" t="n">
        <v>0.45</v>
      </c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2">
        <f>SUM(E28:AC28)</f>
        <v/>
      </c>
    </row>
    <row r="29">
      <c r="A29" s="17" t="inlineStr">
        <is>
          <t>3.14</t>
        </is>
      </c>
      <c r="B29" s="18" t="inlineStr">
        <is>
          <t>SUMINISTRO E INSTALACIÓN DE PISO EN ADOQUÍN PEATONAL, COMPRENDE CAMA DE ARENA, ARENA DE SELLO, COLOCACIÓN, CORTES, COMPACTACIÓN, SELLADO Y LIMPIEZA FINAL</t>
        </is>
      </c>
      <c r="C29" s="19" t="n">
        <v>0.02060096455064717</v>
      </c>
      <c r="D29" s="20" t="n">
        <v>10</v>
      </c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inlineStr">
        <is>
          <t>P</t>
        </is>
      </c>
      <c r="U29" s="21" t="inlineStr">
        <is>
          <t>P</t>
        </is>
      </c>
      <c r="V29" s="21" t="inlineStr">
        <is>
          <t>P</t>
        </is>
      </c>
      <c r="W29" s="21" t="n"/>
      <c r="X29" s="21" t="n"/>
      <c r="Y29" s="21" t="n"/>
      <c r="Z29" s="21" t="n"/>
      <c r="AA29" s="21" t="n"/>
      <c r="AB29" s="21" t="n"/>
      <c r="AC29" s="21" t="n"/>
      <c r="AD29" s="22">
        <f>SUM(E29:AC29)</f>
        <v/>
      </c>
    </row>
    <row r="30">
      <c r="A30" s="17" t="inlineStr">
        <is>
          <t>3.15</t>
        </is>
      </c>
      <c r="B30" s="18" t="inlineStr">
        <is>
          <t>SUMINISTRO E INSTALACIÓN DE PAVIMENTO EN ASFALTO FRÍO TIPO MDF-19</t>
        </is>
      </c>
      <c r="C30" s="19" t="n">
        <v>0.02812306705078456</v>
      </c>
      <c r="D30" s="20" t="n">
        <v>7</v>
      </c>
      <c r="E30" s="21" t="n"/>
      <c r="F30" s="21" t="n"/>
      <c r="G30" s="21" t="n"/>
      <c r="H30" s="21" t="n"/>
      <c r="I30" s="21" t="n"/>
      <c r="J30" s="21" t="inlineStr">
        <is>
          <t>P</t>
        </is>
      </c>
      <c r="K30" s="21" t="inlineStr">
        <is>
          <t>P</t>
        </is>
      </c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2">
        <f>SUM(E30:AC30)</f>
        <v/>
      </c>
    </row>
    <row r="31">
      <c r="A31" s="17" t="inlineStr">
        <is>
          <t>3.16</t>
        </is>
      </c>
      <c r="B31" s="18" t="inlineStr">
        <is>
          <t>SUMINISTRO E INSTALACIÓN DE BALDOSA PODOTÁCTIL (GUÍA TÁCTIL)</t>
        </is>
      </c>
      <c r="C31" s="19" t="n">
        <v>0.002954143485170105</v>
      </c>
      <c r="D31" s="20" t="n">
        <v>5</v>
      </c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inlineStr">
        <is>
          <t>P</t>
        </is>
      </c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2">
        <f>SUM(E31:AC31)</f>
        <v/>
      </c>
    </row>
    <row r="32">
      <c r="A32" s="17" t="inlineStr">
        <is>
          <t>3.17</t>
        </is>
      </c>
      <c r="B32" s="18" t="inlineStr">
        <is>
          <t>SUMINISTRO E INSTALACIÓN DE BOLARDO EN HIERRO NODULAR FUNDIDO ASTM A536 65-45-12, PINTADO Y ANCLADO EN CONCRETO</t>
        </is>
      </c>
      <c r="C32" s="19" t="n">
        <v>0.0008881658598466949</v>
      </c>
      <c r="D32" s="20" t="n">
        <v>2</v>
      </c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inlineStr">
        <is>
          <t>P</t>
        </is>
      </c>
      <c r="W32" s="21" t="n"/>
      <c r="X32" s="21" t="n"/>
      <c r="Y32" s="21" t="n"/>
      <c r="Z32" s="21" t="n"/>
      <c r="AA32" s="21" t="n"/>
      <c r="AB32" s="21" t="n"/>
      <c r="AC32" s="21" t="n"/>
      <c r="AD32" s="22">
        <f>SUM(E32:AC32)</f>
        <v/>
      </c>
    </row>
    <row r="33">
      <c r="A33" s="12" t="inlineStr">
        <is>
          <t>4</t>
        </is>
      </c>
      <c r="B33" s="13" t="inlineStr">
        <is>
          <t>MAMPOSTERÍA, DINTELES, ALJAFIAS Y PAÑETES</t>
        </is>
      </c>
      <c r="C33" s="14">
        <f>SUM(C34:C40)</f>
        <v/>
      </c>
      <c r="D33" s="15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17" t="inlineStr">
        <is>
          <t>4.1</t>
        </is>
      </c>
      <c r="B34" s="18" t="inlineStr">
        <is>
          <t>SUMINISTRO E INSTALACIÓN DE MURO EN MAMPOSTERÍA ABUZARDADA E=12 CM, CON ACERO DE DOVELAS</t>
        </is>
      </c>
      <c r="C34" s="19" t="n">
        <v>0.04267230254842819</v>
      </c>
      <c r="D34" s="20" t="n">
        <v>11</v>
      </c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inlineStr">
        <is>
          <t>P</t>
        </is>
      </c>
      <c r="T34" s="21" t="inlineStr">
        <is>
          <t>P</t>
        </is>
      </c>
      <c r="U34" s="21" t="inlineStr">
        <is>
          <t>P</t>
        </is>
      </c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2">
        <f>SUM(E34:AC34)</f>
        <v/>
      </c>
    </row>
    <row r="35">
      <c r="A35" s="17" t="inlineStr">
        <is>
          <t>4.2</t>
        </is>
      </c>
      <c r="B35" s="18" t="inlineStr">
        <is>
          <t>SUMINISTRO E INSTALACIÓN DE MORTERO DE NIVELACIÓN Y ALISTADO DE PISO 1:4, E=4 CM</t>
        </is>
      </c>
      <c r="C35" s="19" t="n">
        <v>0.005923521782136347</v>
      </c>
      <c r="D35" s="20" t="n">
        <v>8</v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inlineStr">
        <is>
          <t>P</t>
        </is>
      </c>
      <c r="T35" s="21" t="inlineStr">
        <is>
          <t>P</t>
        </is>
      </c>
      <c r="U35" s="21" t="inlineStr">
        <is>
          <t>P</t>
        </is>
      </c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2">
        <f>SUM(E35:AC35)</f>
        <v/>
      </c>
    </row>
    <row r="36">
      <c r="A36" s="17" t="inlineStr">
        <is>
          <t>4.3</t>
        </is>
      </c>
      <c r="B36" s="18" t="inlineStr">
        <is>
          <t>SUMINISTRO E INSTALACIÓN DE PAÑETE LISO EN MORTERO 1:4 SOBRE MURO, CON FILOS Y DILATACIONES</t>
        </is>
      </c>
      <c r="C36" s="19" t="n">
        <v>0.002955936535429527</v>
      </c>
      <c r="D36" s="20" t="n">
        <v>7</v>
      </c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inlineStr">
        <is>
          <t>P</t>
        </is>
      </c>
      <c r="T36" s="21" t="inlineStr">
        <is>
          <t>P</t>
        </is>
      </c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2">
        <f>SUM(E36:AC36)</f>
        <v/>
      </c>
    </row>
    <row r="37">
      <c r="A37" s="17" t="inlineStr">
        <is>
          <t>4.4</t>
        </is>
      </c>
      <c r="B37" s="18" t="inlineStr">
        <is>
          <t>SUMINISTRO E INSTALACIÓN DE PAÑETE LISO IMPERMEABILIZADO EN MORTERO 1:4 SOBRE MURO, CON FILOS Y DILATACIONES</t>
        </is>
      </c>
      <c r="C37" s="19" t="n">
        <v>0.001381170285455699</v>
      </c>
      <c r="D37" s="20" t="n">
        <v>3</v>
      </c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inlineStr">
        <is>
          <t>P</t>
        </is>
      </c>
      <c r="T37" s="21" t="inlineStr">
        <is>
          <t>P</t>
        </is>
      </c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2">
        <f>SUM(E37:AC37)</f>
        <v/>
      </c>
    </row>
    <row r="38">
      <c r="A38" s="17" t="inlineStr">
        <is>
          <t>4.5</t>
        </is>
      </c>
      <c r="B38" s="18" t="inlineStr">
        <is>
          <t>SUMINISTRO E INSTALACIÓN DE DINTEL EN CONCRETO 3.000 PSI SOBRE MURO</t>
        </is>
      </c>
      <c r="C38" s="19" t="n">
        <v>0.003080976387368358</v>
      </c>
      <c r="D38" s="20" t="n">
        <v>3</v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inlineStr">
        <is>
          <t>P</t>
        </is>
      </c>
      <c r="T38" s="21" t="inlineStr">
        <is>
          <t>P</t>
        </is>
      </c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2">
        <f>SUM(E38:AC38)</f>
        <v/>
      </c>
    </row>
    <row r="39">
      <c r="A39" s="17" t="inlineStr">
        <is>
          <t>4.6</t>
        </is>
      </c>
      <c r="B39" s="18" t="inlineStr">
        <is>
          <t>SUMINISTRO E INSTALACIÓN DE ALFAJÍA SOBRE MURO DE BORDE, CON CONFORMACIÓN DE CORTAGOTERO</t>
        </is>
      </c>
      <c r="C39" s="19" t="n">
        <v>0.0004656494755428664</v>
      </c>
      <c r="D39" s="20" t="n">
        <v>2</v>
      </c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inlineStr">
        <is>
          <t>P</t>
        </is>
      </c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2">
        <f>SUM(E39:AC39)</f>
        <v/>
      </c>
    </row>
    <row r="40">
      <c r="A40" s="17" t="inlineStr">
        <is>
          <t>4.7</t>
        </is>
      </c>
      <c r="B40" s="18" t="inlineStr">
        <is>
          <t>SUMINISTRO E INSTALACIÓN DE LAVATRAPEROS EN LADRILLO CON ACABADO EN GRANITO PULIDO, LONGITUD APROX. 120 CM (COMPRENDE LLAVE TERMINAL DE 1/2", PAÑETE, DESTRONQUE, PULIDA Y BRILLADA)</t>
        </is>
      </c>
      <c r="C40" s="19" t="n">
        <v>0.0002223978110768094</v>
      </c>
      <c r="D40" s="20" t="n">
        <v>1</v>
      </c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inlineStr">
        <is>
          <t>P</t>
        </is>
      </c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2">
        <f>SUM(E40:AC40)</f>
        <v/>
      </c>
    </row>
    <row r="41">
      <c r="A41" s="12" t="inlineStr">
        <is>
          <t>5</t>
        </is>
      </c>
      <c r="B41" s="13" t="inlineStr">
        <is>
          <t>ACABADOS</t>
        </is>
      </c>
      <c r="C41" s="14">
        <f>SUM(C42:C49)</f>
        <v/>
      </c>
      <c r="D41" s="15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17" t="inlineStr">
        <is>
          <t>5.1</t>
        </is>
      </c>
      <c r="B42" s="18" t="inlineStr">
        <is>
          <t>SUMINISTRO E INSTALACIÓN DE PISO EN CONCRETO PULIDO 4.000 PSI</t>
        </is>
      </c>
      <c r="C42" s="19" t="n">
        <v>0.02817210228381097</v>
      </c>
      <c r="D42" s="20" t="n">
        <v>11</v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inlineStr">
        <is>
          <t>P</t>
        </is>
      </c>
      <c r="Y42" s="21" t="inlineStr">
        <is>
          <t>P</t>
        </is>
      </c>
      <c r="Z42" s="21" t="inlineStr">
        <is>
          <t>P</t>
        </is>
      </c>
      <c r="AA42" s="21" t="n"/>
      <c r="AB42" s="21" t="n"/>
      <c r="AC42" s="21" t="n"/>
      <c r="AD42" s="22">
        <f>SUM(E42:AC42)</f>
        <v/>
      </c>
    </row>
    <row r="43">
      <c r="A43" s="17" t="inlineStr">
        <is>
          <t>5.2</t>
        </is>
      </c>
      <c r="B43" s="18" t="inlineStr">
        <is>
          <t>SUMINISTRO E INSTALACIÓN DE PISO EN CERÁMICA ANTIDESLIZANTE FORMATO 30 X 30 COLOR BLANCO PARA BAÑOS Y ÁREAS HÚMEDAS</t>
        </is>
      </c>
      <c r="C43" s="19" t="n">
        <v>0.002061390481776382</v>
      </c>
      <c r="D43" s="20" t="n">
        <v>5</v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inlineStr">
        <is>
          <t>P</t>
        </is>
      </c>
      <c r="Y43" s="21" t="inlineStr">
        <is>
          <t>P</t>
        </is>
      </c>
      <c r="Z43" s="21" t="n"/>
      <c r="AA43" s="21" t="n"/>
      <c r="AB43" s="21" t="n"/>
      <c r="AC43" s="21" t="n"/>
      <c r="AD43" s="22">
        <f>SUM(E43:AC43)</f>
        <v/>
      </c>
    </row>
    <row r="44">
      <c r="A44" s="17" t="inlineStr">
        <is>
          <t>5.3</t>
        </is>
      </c>
      <c r="B44" s="18" t="inlineStr">
        <is>
          <t>SUMINISTRO E INSTALACIÓN DE BORDILLO EN CONCRETO 3.000 PSI</t>
        </is>
      </c>
      <c r="C44" s="19" t="n">
        <v>0.003994860012735314</v>
      </c>
      <c r="D44" s="20" t="n">
        <v>10</v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inlineStr">
        <is>
          <t>P</t>
        </is>
      </c>
      <c r="Y44" s="21" t="inlineStr">
        <is>
          <t>P</t>
        </is>
      </c>
      <c r="Z44" s="21" t="inlineStr">
        <is>
          <t>P</t>
        </is>
      </c>
      <c r="AA44" s="21" t="n"/>
      <c r="AB44" s="21" t="n"/>
      <c r="AC44" s="21" t="n"/>
      <c r="AD44" s="22">
        <f>SUM(E44:AC44)</f>
        <v/>
      </c>
    </row>
    <row r="45">
      <c r="A45" s="17" t="inlineStr">
        <is>
          <t>5.4</t>
        </is>
      </c>
      <c r="B45" s="18" t="inlineStr">
        <is>
          <t>SUMINISTRO E INSTALACIÓN DE ENCHAPE EN CERÁMICA FORMATO 30 X 30 SOBRE MURO, ALTURA 2 M</t>
        </is>
      </c>
      <c r="C45" s="19" t="n">
        <v>0.005518853589493106</v>
      </c>
      <c r="D45" s="20" t="n">
        <v>8</v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inlineStr">
        <is>
          <t>P</t>
        </is>
      </c>
      <c r="Y45" s="21" t="inlineStr">
        <is>
          <t>P</t>
        </is>
      </c>
      <c r="Z45" s="21" t="inlineStr">
        <is>
          <t>P</t>
        </is>
      </c>
      <c r="AA45" s="21" t="n"/>
      <c r="AB45" s="21" t="n"/>
      <c r="AC45" s="21" t="n"/>
      <c r="AD45" s="22">
        <f>SUM(E45:AC45)</f>
        <v/>
      </c>
    </row>
    <row r="46">
      <c r="A46" s="17" t="inlineStr">
        <is>
          <t>5.5</t>
        </is>
      </c>
      <c r="B46" s="18" t="inlineStr">
        <is>
          <t>SUMINISTRO E INSTALACIÓN DE ESTUCO PLÁSTICO EN MUROS</t>
        </is>
      </c>
      <c r="C46" s="19" t="n">
        <v>0.002535580743640386</v>
      </c>
      <c r="D46" s="20" t="n">
        <v>12</v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inlineStr">
        <is>
          <t>P</t>
        </is>
      </c>
      <c r="Y46" s="21" t="inlineStr">
        <is>
          <t>P</t>
        </is>
      </c>
      <c r="Z46" s="21" t="inlineStr">
        <is>
          <t>P</t>
        </is>
      </c>
      <c r="AA46" s="21" t="n"/>
      <c r="AB46" s="21" t="n"/>
      <c r="AC46" s="21" t="n"/>
      <c r="AD46" s="22">
        <f>SUM(E46:AC46)</f>
        <v/>
      </c>
    </row>
    <row r="47">
      <c r="A47" s="17" t="inlineStr">
        <is>
          <t>5.6</t>
        </is>
      </c>
      <c r="B47" s="18" t="inlineStr">
        <is>
          <t>SUMINISTRO E INSTALACIÓN DE PINTURA BLANCA PINTUCO SOBRE MUROS: 2 MANOS TIPO 2 Y 2 MANOS TIPO 1, CON FILOS Y DILATACIONES</t>
        </is>
      </c>
      <c r="C47" s="19" t="n">
        <v>0.003872396786435407</v>
      </c>
      <c r="D47" s="20" t="n">
        <v>11</v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inlineStr">
        <is>
          <t>P</t>
        </is>
      </c>
      <c r="Y47" s="21" t="inlineStr">
        <is>
          <t>P</t>
        </is>
      </c>
      <c r="Z47" s="21" t="inlineStr">
        <is>
          <t>P</t>
        </is>
      </c>
      <c r="AA47" s="21" t="n"/>
      <c r="AB47" s="21" t="n"/>
      <c r="AC47" s="21" t="n"/>
      <c r="AD47" s="22">
        <f>SUM(E47:AC47)</f>
        <v/>
      </c>
    </row>
    <row r="48">
      <c r="A48" s="17" t="inlineStr">
        <is>
          <t>5.7</t>
        </is>
      </c>
      <c r="B48" s="18" t="inlineStr">
        <is>
          <t>SUMINISTRO E INSTALACIÓN DE PINTURA EPÓXICA EN RESINA TERMOPLÁSTICA ACRÍLICA</t>
        </is>
      </c>
      <c r="C48" s="19" t="n">
        <v>0.02453112909612094</v>
      </c>
      <c r="D48" s="20" t="n">
        <v>11</v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inlineStr">
        <is>
          <t>P</t>
        </is>
      </c>
      <c r="Y48" s="21" t="inlineStr">
        <is>
          <t>P</t>
        </is>
      </c>
      <c r="Z48" s="21" t="inlineStr">
        <is>
          <t>P</t>
        </is>
      </c>
      <c r="AA48" s="21" t="n"/>
      <c r="AB48" s="21" t="n"/>
      <c r="AC48" s="21" t="n"/>
      <c r="AD48" s="22">
        <f>SUM(E48:AC48)</f>
        <v/>
      </c>
    </row>
    <row r="49">
      <c r="A49" s="17" t="inlineStr">
        <is>
          <t>5.8</t>
        </is>
      </c>
      <c r="B49" s="18" t="inlineStr">
        <is>
          <t>SUMINISTRO E INSTALACIÓN DE PINTURA PARA DEMARCACIÓN</t>
        </is>
      </c>
      <c r="C49" s="19" t="n">
        <v>0.0008314935079941102</v>
      </c>
      <c r="D49" s="20" t="n">
        <v>4</v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inlineStr">
        <is>
          <t>P</t>
        </is>
      </c>
      <c r="Y49" s="21" t="inlineStr">
        <is>
          <t>P</t>
        </is>
      </c>
      <c r="Z49" s="21" t="n"/>
      <c r="AA49" s="21" t="n"/>
      <c r="AB49" s="21" t="n"/>
      <c r="AC49" s="21" t="n"/>
      <c r="AD49" s="22">
        <f>SUM(E49:AC49)</f>
        <v/>
      </c>
    </row>
    <row r="50">
      <c r="A50" s="12" t="inlineStr">
        <is>
          <t>6</t>
        </is>
      </c>
      <c r="B50" s="13" t="inlineStr">
        <is>
          <t>ESTRUCTURA DE CUBIERTA Y CUBIERTA</t>
        </is>
      </c>
      <c r="C50" s="14">
        <f>SUM(C51:C55)</f>
        <v/>
      </c>
      <c r="D50" s="15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17" t="inlineStr">
        <is>
          <t>6.1</t>
        </is>
      </c>
      <c r="B51" s="18" t="inlineStr">
        <is>
          <t>SUMINISTRO E INSTALACIÓN DE ESTRUCTURA METÁLICA DE CUBIERTA TIPO MALOKA, EN ACERO ASTM-500 GR C (PERFIL TUBULAR ESTRUCTURAL RECTANGULAR), CON UNIONES SOLDADAS SMAW ELECTRODO E7018 Y CONEXIONES EMPERNADAS A325, CONFORME A PLANOS EST-010. COMPRENDE PLATINAS/PLACAS DE CONEXIÓN, CONSUMIBLES DE SOLDADURA, PINTURA ANTICORROSIVA, CORTES, DESPUNTES Y ELEMENTOS AUXILIARES DE MONTAJE. UNIDAD DE MEDIDA: KG DE ACERO</t>
        </is>
      </c>
      <c r="C51" s="19" t="n">
        <v>0.1129790035933086</v>
      </c>
      <c r="D51" s="20" t="n">
        <v>17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>
        <v>0.06</v>
      </c>
      <c r="P51" s="21" t="inlineStr">
        <is>
          <t>P</t>
        </is>
      </c>
      <c r="Q51" s="21" t="n">
        <v>0.24</v>
      </c>
      <c r="R51" s="21" t="inlineStr">
        <is>
          <t>P</t>
        </is>
      </c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2">
        <f>SUM(E51:AC51)</f>
        <v/>
      </c>
    </row>
    <row r="52">
      <c r="A52" s="17" t="inlineStr">
        <is>
          <t>6.2</t>
        </is>
      </c>
      <c r="B52" s="18" t="inlineStr">
        <is>
          <t>SUMINISTRO E INSTALACIÓN DE CORREAS METÁLICAS EN CAJÓN DOBLE (2 PERFILES C-125 CAL 14, T=2,0 MM) CON SOLDADURA INTERMITENTE 50@250. COMPRENDE PLATINAS DE UNIÓN A VIGA CINTA (140×260×6,5 Y 140×200×6,5), LÁMINA CONECTORA 50×220×2,0, PERNOS 3/8", CONSUMIBLES DE SOLDADURA E7018, PINTURA ANTICORROSIVA, CORTES, DESPUNTES Y MONTAJE. UNIDAD DE MEDIDA: KG DE ACERO</t>
        </is>
      </c>
      <c r="C52" s="19" t="n">
        <v>0.01296944311505054</v>
      </c>
      <c r="D52" s="20" t="n">
        <v>11</v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inlineStr">
        <is>
          <t>P</t>
        </is>
      </c>
      <c r="S52" s="21" t="inlineStr">
        <is>
          <t>P</t>
        </is>
      </c>
      <c r="T52" s="21" t="inlineStr">
        <is>
          <t>P</t>
        </is>
      </c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2">
        <f>SUM(E52:AC52)</f>
        <v/>
      </c>
    </row>
    <row r="53">
      <c r="A53" s="17" t="inlineStr">
        <is>
          <t>6.3</t>
        </is>
      </c>
      <c r="B53" s="18" t="inlineStr">
        <is>
          <t>SUMINISTRO E INSTALACIÓN DE ESTRUCTURA METÁLICA PARA PÉRGOLA, CON UNIONES SOLDADAS Y PERFILERÍA</t>
        </is>
      </c>
      <c r="C53" s="19" t="n">
        <v>0.03365132200053648</v>
      </c>
      <c r="D53" s="20" t="n">
        <v>11</v>
      </c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inlineStr">
        <is>
          <t>P</t>
        </is>
      </c>
      <c r="S53" s="21" t="inlineStr">
        <is>
          <t>P</t>
        </is>
      </c>
      <c r="T53" s="21" t="inlineStr">
        <is>
          <t>P</t>
        </is>
      </c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2">
        <f>SUM(E53:AC53)</f>
        <v/>
      </c>
    </row>
    <row r="54">
      <c r="A54" s="17" t="inlineStr">
        <is>
          <t>6.4</t>
        </is>
      </c>
      <c r="B54" s="18" t="inlineStr">
        <is>
          <t>SUMINISTRO E INSTALACIÓN DE CUBIERTA TIPO SÁNDWICH TERMOACÚSTICA E=18 MM</t>
        </is>
      </c>
      <c r="C54" s="19" t="n">
        <v>0.08054863724411122</v>
      </c>
      <c r="D54" s="20" t="n">
        <v>23</v>
      </c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inlineStr">
        <is>
          <t>P</t>
        </is>
      </c>
      <c r="U54" s="21" t="inlineStr">
        <is>
          <t>P</t>
        </is>
      </c>
      <c r="V54" s="21" t="inlineStr">
        <is>
          <t>P</t>
        </is>
      </c>
      <c r="W54" s="21" t="inlineStr">
        <is>
          <t>P</t>
        </is>
      </c>
      <c r="X54" s="21" t="inlineStr">
        <is>
          <t>P</t>
        </is>
      </c>
      <c r="Y54" s="21" t="n"/>
      <c r="Z54" s="21" t="n"/>
      <c r="AA54" s="21" t="n"/>
      <c r="AB54" s="21" t="n"/>
      <c r="AC54" s="21" t="n"/>
      <c r="AD54" s="22">
        <f>SUM(E54:AC54)</f>
        <v/>
      </c>
    </row>
    <row r="55">
      <c r="A55" s="17" t="inlineStr">
        <is>
          <t>6.5</t>
        </is>
      </c>
      <c r="B55" s="18" t="inlineStr">
        <is>
          <t>SUMINISTRO E INSTALACIÓN DE CUBIERTA EN LÁMINA DE POLICARBONATO</t>
        </is>
      </c>
      <c r="C55" s="19" t="n">
        <v>0.00242616341424814</v>
      </c>
      <c r="D55" s="20" t="n">
        <v>3</v>
      </c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inlineStr">
        <is>
          <t>P</t>
        </is>
      </c>
      <c r="Y55" s="21" t="inlineStr">
        <is>
          <t>P</t>
        </is>
      </c>
      <c r="Z55" s="21" t="n"/>
      <c r="AA55" s="21" t="n"/>
      <c r="AB55" s="21" t="n"/>
      <c r="AC55" s="21" t="n"/>
      <c r="AD55" s="22">
        <f>SUM(E55:AC55)</f>
        <v/>
      </c>
    </row>
    <row r="56">
      <c r="A56" s="12" t="inlineStr">
        <is>
          <t>7</t>
        </is>
      </c>
      <c r="B56" s="13" t="inlineStr">
        <is>
          <t>CARPINTERÍA METALICA</t>
        </is>
      </c>
      <c r="C56" s="14">
        <f>SUM(C57:C62)</f>
        <v/>
      </c>
      <c r="D56" s="15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7" t="inlineStr">
        <is>
          <t>7.1</t>
        </is>
      </c>
      <c r="B57" s="18" t="inlineStr">
        <is>
          <t>SUMINISTRO E INSTALACIÓN DE PUERTA METÁLICA ABATIBLE PT01 (1,20 M × 2,00 M) EN LÁMINA COLD ROLLED CAL. 18, CON MARCO Y REFUERZOS EN PERFILERÍA ESTRUCTURAL. COMPRENDE 3 BISAGRAS SOLDABLES, CERRADURA DE SEGURIDAD, ANCLAJES, PINTURA ANTICORROSIVA Y ESMALTE SINTÉTICO</t>
        </is>
      </c>
      <c r="C57" s="19" t="n">
        <v>0.007399163013200826</v>
      </c>
      <c r="D57" s="20" t="n">
        <v>9</v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inlineStr">
        <is>
          <t>P</t>
        </is>
      </c>
      <c r="V57" s="21" t="inlineStr">
        <is>
          <t>P</t>
        </is>
      </c>
      <c r="W57" s="21" t="inlineStr">
        <is>
          <t>P</t>
        </is>
      </c>
      <c r="X57" s="21" t="n"/>
      <c r="Y57" s="21" t="n"/>
      <c r="Z57" s="21" t="n"/>
      <c r="AA57" s="21" t="n"/>
      <c r="AB57" s="21" t="n"/>
      <c r="AC57" s="21" t="n"/>
      <c r="AD57" s="22">
        <f>SUM(E57:AC57)</f>
        <v/>
      </c>
    </row>
    <row r="58">
      <c r="A58" s="17" t="inlineStr">
        <is>
          <t>7.2</t>
        </is>
      </c>
      <c r="B58" s="18" t="inlineStr">
        <is>
          <t>SUMINISTRO E INSTALACIÓN DE PUERTA METÁLICA ABATIBLE PT02 (0,70 M × 2,00 M) PARA ACCESO A BAÑO/SERVICIO, EN LÁMINA COLD ROLLED CAL. 18, CON MARCO Y REFUERZOS EN PERFILERÍA ESTRUCTURAL. COMPRENDE 3 BISAGRAS SOLDABLES, CERRADURA SENCILLA, ANCLAJES, PINTURA ANTICORROSIVA Y ESMALTE SINTÉTICO</t>
        </is>
      </c>
      <c r="C58" s="19" t="n">
        <v>0.001577165513310159</v>
      </c>
      <c r="D58" s="20" t="n">
        <v>4</v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inlineStr">
        <is>
          <t>P</t>
        </is>
      </c>
      <c r="V58" s="21" t="inlineStr">
        <is>
          <t>P</t>
        </is>
      </c>
      <c r="W58" s="21" t="n"/>
      <c r="X58" s="21" t="n"/>
      <c r="Y58" s="21" t="n"/>
      <c r="Z58" s="21" t="n"/>
      <c r="AA58" s="21" t="n"/>
      <c r="AB58" s="21" t="n"/>
      <c r="AC58" s="21" t="n"/>
      <c r="AD58" s="22">
        <f>SUM(E58:AC58)</f>
        <v/>
      </c>
    </row>
    <row r="59">
      <c r="A59" s="17" t="inlineStr">
        <is>
          <t>7.3</t>
        </is>
      </c>
      <c r="B59" s="18" t="inlineStr">
        <is>
          <t>SUMINISTRO E INSTALACIÓN DE PERSIANA FIJA VT01 (1,40 M × 0,60 M) TIPO LOUVER/CELOSÍA CON LAMAS HORIZONTALES EN LÁMINA COLD ROLLED CAL. 18 Y MARCO EN PERFILERÍA ESTRUCTURAL. COMPRENDE ANCLAJES, PINTURA ANTICORROSIVA Y ESMALTE SINTÉTICO</t>
        </is>
      </c>
      <c r="C59" s="19" t="n">
        <v>0.001354099794563594</v>
      </c>
      <c r="D59" s="20" t="n">
        <v>4</v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inlineStr">
        <is>
          <t>P</t>
        </is>
      </c>
      <c r="V59" s="21" t="inlineStr">
        <is>
          <t>P</t>
        </is>
      </c>
      <c r="W59" s="21" t="n"/>
      <c r="X59" s="21" t="n"/>
      <c r="Y59" s="21" t="n"/>
      <c r="Z59" s="21" t="n"/>
      <c r="AA59" s="21" t="n"/>
      <c r="AB59" s="21" t="n"/>
      <c r="AC59" s="21" t="n"/>
      <c r="AD59" s="22">
        <f>SUM(E59:AC59)</f>
        <v/>
      </c>
    </row>
    <row r="60">
      <c r="A60" s="17" t="inlineStr">
        <is>
          <t>7.4</t>
        </is>
      </c>
      <c r="B60" s="18" t="inlineStr">
        <is>
          <t>SUMINISTRO E INSTALACIÓN DE VENTANA CORREDIZA VT02 (1,40 M × 1,00 M) DE DOS HOJAS EN LÁMINA COLD ROLLED CAL. 18, CON RIEL Y RODAMIENTOS, VIDRIO CRUDO 4 MM, FELPA/EMPAQUE, ANCLAJES, PINTURA ANTICORROSIVA Y ESMALTE SINTÉTICO</t>
        </is>
      </c>
      <c r="C60" s="19" t="n">
        <v>0.0007783711047099678</v>
      </c>
      <c r="D60" s="20" t="n">
        <v>2</v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inlineStr">
        <is>
          <t>P</t>
        </is>
      </c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2">
        <f>SUM(E60:AC60)</f>
        <v/>
      </c>
    </row>
    <row r="61">
      <c r="A61" s="17" t="inlineStr">
        <is>
          <t>7.5</t>
        </is>
      </c>
      <c r="B61" s="18" t="inlineStr">
        <is>
          <t>SUMINISTRO E INSTALACIÓN DE PERSIANA FIJA VT03 TIPO LOUVER/CELOSÍA CON LAMAS HORIZONTALES EN LÁMINA COLD ROLLED CAL. 18 Y MARCO EN PERFILERÍA ESTRUCTURAL, ALTURA 0,40 M Y LONGITUD VARIABLE. COMPRENDE ANCLAJES, PINTURA ANTICORROSIVA Y ESMALTE SINTÉTICO. UNIDAD DE MEDIDA: M² DE FACHADA</t>
        </is>
      </c>
      <c r="C61" s="19" t="n">
        <v>0.001821698788354552</v>
      </c>
      <c r="D61" s="20" t="n">
        <v>5</v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inlineStr">
        <is>
          <t>P</t>
        </is>
      </c>
      <c r="V61" s="21" t="inlineStr">
        <is>
          <t>P</t>
        </is>
      </c>
      <c r="W61" s="21" t="n"/>
      <c r="X61" s="21" t="n"/>
      <c r="Y61" s="21" t="n"/>
      <c r="Z61" s="21" t="n"/>
      <c r="AA61" s="21" t="n"/>
      <c r="AB61" s="21" t="n"/>
      <c r="AC61" s="21" t="n"/>
      <c r="AD61" s="22">
        <f>SUM(E61:AC61)</f>
        <v/>
      </c>
    </row>
    <row r="62">
      <c r="A62" s="17" t="inlineStr">
        <is>
          <t>7.6</t>
        </is>
      </c>
      <c r="B62" s="18" t="inlineStr">
        <is>
          <t>SUMINISTRO E INSTALACIÓN DE PERSIANA FIJA VT04 TIPO LOUVER/CELOSÍA CON LAMAS HORIZONTALES EN LÁMINA COLD ROLLED CAL. 18 Y MARCO EN PERFILERÍA ESTRUCTURAL, ALTURA 1,00 M Y LONGITUD VARIABLE. COMPRENDE ANCLAJES, PINTURA ANTICORROSIVA Y ESMALTE SINTÉTICO. UNIDAD DE MEDIDA: M² DE FACHADA</t>
        </is>
      </c>
      <c r="C62" s="19" t="n">
        <v>0.004148226284515573</v>
      </c>
      <c r="D62" s="20" t="n">
        <v>9</v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inlineStr">
        <is>
          <t>P</t>
        </is>
      </c>
      <c r="V62" s="21" t="inlineStr">
        <is>
          <t>P</t>
        </is>
      </c>
      <c r="W62" s="21" t="inlineStr">
        <is>
          <t>P</t>
        </is>
      </c>
      <c r="X62" s="21" t="n"/>
      <c r="Y62" s="21" t="n"/>
      <c r="Z62" s="21" t="n"/>
      <c r="AA62" s="21" t="n"/>
      <c r="AB62" s="21" t="n"/>
      <c r="AC62" s="21" t="n"/>
      <c r="AD62" s="22">
        <f>SUM(E62:AC62)</f>
        <v/>
      </c>
    </row>
    <row r="63">
      <c r="A63" s="12" t="inlineStr">
        <is>
          <t>8</t>
        </is>
      </c>
      <c r="B63" s="13" t="inlineStr">
        <is>
          <t>COMPONENTE HIDROSANITARIO: INSTALACIONES HIDRÁULICAS</t>
        </is>
      </c>
      <c r="C63" s="14">
        <f>SUM(C64:C75)</f>
        <v/>
      </c>
      <c r="D63" s="15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7" t="inlineStr">
        <is>
          <t>8.1</t>
        </is>
      </c>
      <c r="B64" s="18" t="inlineStr">
        <is>
          <t>SUMINISTRO E INSTALACIÓN DE TUBERÍA EN PVC PRESIÓN Ø1/2", CON ACCESORIOS Y ELEMENTOS DE FIJACIÓN</t>
        </is>
      </c>
      <c r="C64" s="19" t="n">
        <v>7.631181011164905e-05</v>
      </c>
      <c r="D64" s="20" t="n">
        <v>1</v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inlineStr">
        <is>
          <t>P</t>
        </is>
      </c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2">
        <f>SUM(E64:AC64)</f>
        <v/>
      </c>
    </row>
    <row r="65">
      <c r="A65" s="17" t="inlineStr">
        <is>
          <t>8.2</t>
        </is>
      </c>
      <c r="B65" s="18" t="inlineStr">
        <is>
          <t>SUMINISTRO E INSTALACIÓN DE TUBERÍA EN PVC PRESIÓN Ø3/4", CON ACCESORIOS Y ELEMENTOS DE FIJACIÓN</t>
        </is>
      </c>
      <c r="C65" s="19" t="n">
        <v>0.0013832851205039</v>
      </c>
      <c r="D65" s="20" t="n">
        <v>5</v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inlineStr">
        <is>
          <t>P</t>
        </is>
      </c>
      <c r="V65" s="21" t="inlineStr">
        <is>
          <t>P</t>
        </is>
      </c>
      <c r="W65" s="21" t="n"/>
      <c r="X65" s="21" t="n"/>
      <c r="Y65" s="21" t="n"/>
      <c r="Z65" s="21" t="n"/>
      <c r="AA65" s="21" t="n"/>
      <c r="AB65" s="21" t="n"/>
      <c r="AC65" s="21" t="n"/>
      <c r="AD65" s="22">
        <f>SUM(E65:AC65)</f>
        <v/>
      </c>
    </row>
    <row r="66">
      <c r="A66" s="17" t="inlineStr">
        <is>
          <t>8.3</t>
        </is>
      </c>
      <c r="B66" s="18" t="inlineStr">
        <is>
          <t>SUMINISTRO E INSTALACIÓN DE TUBERÍA EN PVC PRESIÓN Ø1", CON ACCESORIOS Y ELEMENTOS DE FIJACIÓN</t>
        </is>
      </c>
      <c r="C66" s="19" t="n">
        <v>0.001588161512782367</v>
      </c>
      <c r="D66" s="20" t="n">
        <v>6</v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inlineStr">
        <is>
          <t>P</t>
        </is>
      </c>
      <c r="V66" s="21" t="inlineStr">
        <is>
          <t>P</t>
        </is>
      </c>
      <c r="W66" s="21" t="n"/>
      <c r="X66" s="21" t="n"/>
      <c r="Y66" s="21" t="n"/>
      <c r="Z66" s="21" t="n"/>
      <c r="AA66" s="21" t="n"/>
      <c r="AB66" s="21" t="n"/>
      <c r="AC66" s="21" t="n"/>
      <c r="AD66" s="22">
        <f>SUM(E66:AC66)</f>
        <v/>
      </c>
    </row>
    <row r="67">
      <c r="A67" s="17" t="inlineStr">
        <is>
          <t>8.4</t>
        </is>
      </c>
      <c r="B67" s="18" t="inlineStr">
        <is>
          <t>SUMINISTRO E INSTALACIÓN DE PUNTO HIDRÁULICO DE AGUA FRÍA EN PVC PRESIÓN 1/2"</t>
        </is>
      </c>
      <c r="C67" s="19" t="n">
        <v>0.0005750723643977965</v>
      </c>
      <c r="D67" s="20" t="n">
        <v>3</v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inlineStr">
        <is>
          <t>P</t>
        </is>
      </c>
      <c r="V67" s="21" t="inlineStr">
        <is>
          <t>P</t>
        </is>
      </c>
      <c r="W67" s="21" t="n"/>
      <c r="X67" s="21" t="n"/>
      <c r="Y67" s="21" t="n"/>
      <c r="Z67" s="21" t="n"/>
      <c r="AA67" s="21" t="n"/>
      <c r="AB67" s="21" t="n"/>
      <c r="AC67" s="21" t="n"/>
      <c r="AD67" s="22">
        <f>SUM(E67:AC67)</f>
        <v/>
      </c>
    </row>
    <row r="68">
      <c r="A68" s="17" t="inlineStr">
        <is>
          <t>8.5</t>
        </is>
      </c>
      <c r="B68" s="18" t="inlineStr">
        <is>
          <t>SUMINISTRO E INSTALACIÓN DE LLAVE DE REGISTRO DE BOLA EN PVC PRESIÓN 3/4"</t>
        </is>
      </c>
      <c r="C68" s="19" t="n">
        <v>0.0007512069523145779</v>
      </c>
      <c r="D68" s="20" t="n">
        <v>2</v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inlineStr">
        <is>
          <t>P</t>
        </is>
      </c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2">
        <f>SUM(E68:AC68)</f>
        <v/>
      </c>
    </row>
    <row r="69">
      <c r="A69" s="17" t="inlineStr">
        <is>
          <t>8.6</t>
        </is>
      </c>
      <c r="B69" s="18" t="inlineStr">
        <is>
          <t>SUMINISTRO E INSTALACIÓN DE VÁLVULA CHEQUE DE CORTINA Ø1"</t>
        </is>
      </c>
      <c r="C69" s="19" t="n">
        <v>0.0004478734024676615</v>
      </c>
      <c r="D69" s="20" t="n">
        <v>1</v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inlineStr">
        <is>
          <t>P</t>
        </is>
      </c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2">
        <f>SUM(E69:AC69)</f>
        <v/>
      </c>
    </row>
    <row r="70">
      <c r="A70" s="17" t="inlineStr">
        <is>
          <t>8.7</t>
        </is>
      </c>
      <c r="B70" s="18" t="inlineStr">
        <is>
          <t>SUMINISTRO E INSTALACIÓN DE VÁLVULA DE BOLA ROSCADA EN ACERO INOXIDABLE 1"</t>
        </is>
      </c>
      <c r="C70" s="19" t="n">
        <v>0.0001593735800700866</v>
      </c>
      <c r="D70" s="20" t="n">
        <v>1</v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inlineStr">
        <is>
          <t>P</t>
        </is>
      </c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2">
        <f>SUM(E70:AC70)</f>
        <v/>
      </c>
    </row>
    <row r="71">
      <c r="A71" s="17" t="inlineStr">
        <is>
          <t>8.8</t>
        </is>
      </c>
      <c r="B71" s="18" t="inlineStr">
        <is>
          <t>SUMINISTRO E INSTALACIÓN DE VÁLVULA FLOTADORA EN BRONCE 1" CON BOLA EN COBRE</t>
        </is>
      </c>
      <c r="C71" s="19" t="n">
        <v>0.0001256091100318374</v>
      </c>
      <c r="D71" s="20" t="n">
        <v>1</v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inlineStr">
        <is>
          <t>P</t>
        </is>
      </c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2">
        <f>SUM(E71:AC71)</f>
        <v/>
      </c>
    </row>
    <row r="72">
      <c r="A72" s="17" t="inlineStr">
        <is>
          <t>8.9</t>
        </is>
      </c>
      <c r="B72" s="18" t="inlineStr">
        <is>
          <t>SUMINISTRO E INSTALACIÓN DE CAJILLA PARA MEDIDOR DE ACUEDUCTO</t>
        </is>
      </c>
      <c r="C72" s="19" t="n">
        <v>0.0001545986193420283</v>
      </c>
      <c r="D72" s="20" t="n">
        <v>1</v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inlineStr">
        <is>
          <t>P</t>
        </is>
      </c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2">
        <f>SUM(E72:AC72)</f>
        <v/>
      </c>
    </row>
    <row r="73">
      <c r="A73" s="17" t="inlineStr">
        <is>
          <t>8.10</t>
        </is>
      </c>
      <c r="B73" s="18" t="inlineStr">
        <is>
          <t>SUMINISTRO E INSTALACIÓN DE TANQUE DE ALMACENAMIENTO 2000 L (CON ACCESORIOS DE ENTRADA, SALIDA Y FLOTADOR)</t>
        </is>
      </c>
      <c r="C73" s="19" t="n">
        <v>0.0007672869259824004</v>
      </c>
      <c r="D73" s="20" t="n">
        <v>1</v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inlineStr">
        <is>
          <t>P</t>
        </is>
      </c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2">
        <f>SUM(E73:AC73)</f>
        <v/>
      </c>
    </row>
    <row r="74">
      <c r="A74" s="17" t="inlineStr">
        <is>
          <t>8.11</t>
        </is>
      </c>
      <c r="B74" s="18" t="inlineStr">
        <is>
          <t>SUMINISTRO E INSTALACIÓN DE ACOMETIDA HIDRÁULICA PRINCIPAL, CON TAPA DE REGISTRO PLÁSTICA CORRIENTE 15 X 15 CM</t>
        </is>
      </c>
      <c r="C74" s="19" t="n">
        <v>0.0002529277548392118</v>
      </c>
      <c r="D74" s="20" t="n">
        <v>1</v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inlineStr">
        <is>
          <t>P</t>
        </is>
      </c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2">
        <f>SUM(E74:AC74)</f>
        <v/>
      </c>
    </row>
    <row r="75">
      <c r="A75" s="17" t="inlineStr">
        <is>
          <t>8.12</t>
        </is>
      </c>
      <c r="B75" s="18" t="inlineStr">
        <is>
          <t>SUMINISTRO E INSTALACIÓN DE EXTINTOR MULTIPROPÓSITO ABC DE 10 LB</t>
        </is>
      </c>
      <c r="C75" s="19" t="n">
        <v>0.0002404622040640222</v>
      </c>
      <c r="D75" s="20" t="n">
        <v>1</v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inlineStr">
        <is>
          <t>P</t>
        </is>
      </c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2">
        <f>SUM(E75:AC75)</f>
        <v/>
      </c>
    </row>
    <row r="76">
      <c r="A76" s="12" t="inlineStr">
        <is>
          <t>9</t>
        </is>
      </c>
      <c r="B76" s="13" t="inlineStr">
        <is>
          <t>COMPONENTE HIDROSANITARIO: INSTALACIONES SANITARIAS</t>
        </is>
      </c>
      <c r="C76" s="14">
        <f>SUM(C77:C87)</f>
        <v/>
      </c>
      <c r="D76" s="15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7" t="inlineStr">
        <is>
          <t>9.1</t>
        </is>
      </c>
      <c r="B77" s="18" t="inlineStr">
        <is>
          <t>SUMINISTRO E INSTALACIÓN DE TUBERÍA SANITARIA EN PVC 2", CON ACCESORIOS Y ELEMENTOS DE FIJACIÓN</t>
        </is>
      </c>
      <c r="C77" s="19" t="n">
        <v>0.001797573500034413</v>
      </c>
      <c r="D77" s="20" t="n">
        <v>6</v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inlineStr">
        <is>
          <t>P</t>
        </is>
      </c>
      <c r="P77" s="21" t="inlineStr">
        <is>
          <t>P</t>
        </is>
      </c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2">
        <f>SUM(E77:AC77)</f>
        <v/>
      </c>
    </row>
    <row r="78">
      <c r="A78" s="17" t="inlineStr">
        <is>
          <t>9.2</t>
        </is>
      </c>
      <c r="B78" s="18" t="inlineStr">
        <is>
          <t>SUMINISTRO E INSTALACIÓN DE TUBERÍA SANITARIA EN PVC 4", CON ACCESORIOS Y ELEMENTOS DE FIJACIÓN</t>
        </is>
      </c>
      <c r="C78" s="19" t="n">
        <v>0.0008765766965919364</v>
      </c>
      <c r="D78" s="20" t="n">
        <v>3</v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inlineStr">
        <is>
          <t>P</t>
        </is>
      </c>
      <c r="P78" s="21" t="inlineStr">
        <is>
          <t>P</t>
        </is>
      </c>
      <c r="Q78" s="21" t="n"/>
      <c r="R78" s="21" t="n">
        <v>0.63</v>
      </c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2">
        <f>SUM(E78:AC78)</f>
        <v/>
      </c>
    </row>
    <row r="79">
      <c r="A79" s="17" t="inlineStr">
        <is>
          <t>9.3</t>
        </is>
      </c>
      <c r="B79" s="18" t="inlineStr">
        <is>
          <t>SUMINISTRO E INSTALACIÓN DE TUBERÍA SANITARIA EN PVC NOVAFORT CORRUGADO 6", CON ACCESORIOS Y ELEMENTOS DE FIJACIÓN</t>
        </is>
      </c>
      <c r="C79" s="19" t="n">
        <v>0.002209361356792974</v>
      </c>
      <c r="D79" s="20" t="n">
        <v>5</v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inlineStr">
        <is>
          <t>P</t>
        </is>
      </c>
      <c r="P79" s="21" t="inlineStr">
        <is>
          <t>P</t>
        </is>
      </c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2">
        <f>SUM(E79:AC79)</f>
        <v/>
      </c>
    </row>
    <row r="80">
      <c r="A80" s="17" t="inlineStr">
        <is>
          <t>9.4</t>
        </is>
      </c>
      <c r="B80" s="18" t="inlineStr">
        <is>
          <t>SUMINISTRO E INSTALACIÓN DE TUBERÍA DE VENTILACIÓN SANITARIA EN PVC 2", CON ACCESORIOS Y ELEMENTOS DE FIJACIÓN</t>
        </is>
      </c>
      <c r="C80" s="19" t="n">
        <v>0.0009479100078694605</v>
      </c>
      <c r="D80" s="20" t="n">
        <v>4</v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inlineStr">
        <is>
          <t>P</t>
        </is>
      </c>
      <c r="P80" s="21" t="inlineStr">
        <is>
          <t>P</t>
        </is>
      </c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2">
        <f>SUM(E80:AC80)</f>
        <v/>
      </c>
    </row>
    <row r="81">
      <c r="A81" s="17" t="inlineStr">
        <is>
          <t>9.5</t>
        </is>
      </c>
      <c r="B81" s="18" t="inlineStr">
        <is>
          <t>SUMINISTRO E INSTALACIÓN DE PUNTO SANITARIO EN PVC Ø2"</t>
        </is>
      </c>
      <c r="C81" s="19" t="n">
        <v>0.0008125038891510766</v>
      </c>
      <c r="D81" s="20" t="n">
        <v>3</v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inlineStr">
        <is>
          <t>P</t>
        </is>
      </c>
      <c r="P81" s="21" t="inlineStr">
        <is>
          <t>P</t>
        </is>
      </c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2">
        <f>SUM(E81:AC81)</f>
        <v/>
      </c>
    </row>
    <row r="82">
      <c r="A82" s="17" t="inlineStr">
        <is>
          <t>9.6</t>
        </is>
      </c>
      <c r="B82" s="18" t="inlineStr">
        <is>
          <t>SUMINISTRO E INSTALACIÓN DE PUNTO SANITARIO EN PVC Ø4"</t>
        </is>
      </c>
      <c r="C82" s="19" t="n">
        <v>0.0005513967748370392</v>
      </c>
      <c r="D82" s="20" t="n">
        <v>3</v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inlineStr">
        <is>
          <t>P</t>
        </is>
      </c>
      <c r="P82" s="21" t="inlineStr">
        <is>
          <t>P</t>
        </is>
      </c>
      <c r="Q82" s="21" t="n"/>
      <c r="R82" s="21" t="n">
        <v>0.34</v>
      </c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2">
        <f>SUM(E82:AC82)</f>
        <v/>
      </c>
    </row>
    <row r="83">
      <c r="A83" s="17" t="inlineStr">
        <is>
          <t>9.7</t>
        </is>
      </c>
      <c r="B83" s="18" t="inlineStr">
        <is>
          <t>SUMINISTRO E INSTALACIÓN DE PUNTO SANITARIO CON SIFÓN EN PVC Ø2"</t>
        </is>
      </c>
      <c r="C83" s="19" t="n">
        <v>0.0002167078554485653</v>
      </c>
      <c r="D83" s="20" t="n">
        <v>1</v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inlineStr">
        <is>
          <t>P</t>
        </is>
      </c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2">
        <f>SUM(E83:AC83)</f>
        <v/>
      </c>
    </row>
    <row r="84">
      <c r="A84" s="17" t="inlineStr">
        <is>
          <t>9.8</t>
        </is>
      </c>
      <c r="B84" s="18" t="inlineStr">
        <is>
          <t>SUMINISTRO E INSTALACIÓN DE TRAMPA DE GRASAS 40 X 60 CM CON MARCO Y TAPA</t>
        </is>
      </c>
      <c r="C84" s="19" t="n">
        <v>0.0005916364746077425</v>
      </c>
      <c r="D84" s="20" t="n">
        <v>1</v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inlineStr">
        <is>
          <t>P</t>
        </is>
      </c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2">
        <f>SUM(E84:AC84)</f>
        <v/>
      </c>
    </row>
    <row r="85">
      <c r="A85" s="17" t="inlineStr">
        <is>
          <t>9.9</t>
        </is>
      </c>
      <c r="B85" s="18" t="inlineStr">
        <is>
          <t>SUMINISTRO E INSTALACIÓN DE CAJA DE INSPECCIÓN 60 X 60 CM CON MARCO Y TAPA</t>
        </is>
      </c>
      <c r="C85" s="19" t="n">
        <v>0.001762910250195474</v>
      </c>
      <c r="D85" s="20" t="n">
        <v>2</v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inlineStr">
        <is>
          <t>P</t>
        </is>
      </c>
      <c r="P85" s="21" t="inlineStr">
        <is>
          <t>P</t>
        </is>
      </c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2">
        <f>SUM(E85:AC85)</f>
        <v/>
      </c>
    </row>
    <row r="86">
      <c r="A86" s="17" t="inlineStr">
        <is>
          <t>9.10</t>
        </is>
      </c>
      <c r="B86" s="18" t="inlineStr">
        <is>
          <t>SUMINISTRO E INSTALACIÓN DE REGISTRO SANITARIO DE 1 M PARA ALCANTARILLADO MUNICIPAL. COMPRENDE SUMINISTRO, TRANSPORTE Y CONSTRUCCIÓN EN CONCRETO 3.000 PSI DE MUROS Y LOSA DE FONDO E=10 CM SECCIÓN 60X60, TAPA EN CONCRETO E=5 CM SECCIÓN 70X70 CON MANIJA EN VARILLA DE 1/2" Y REFUERZO EN ACERO G60. LA EXCAVACIÓN SE PAGA EN SU ÍTEM CORRESPONDIENTE</t>
        </is>
      </c>
      <c r="C86" s="19" t="n">
        <v>0.0009055762438208635</v>
      </c>
      <c r="D86" s="20" t="n">
        <v>3</v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inlineStr">
        <is>
          <t>P</t>
        </is>
      </c>
      <c r="P86" s="21" t="inlineStr">
        <is>
          <t>P</t>
        </is>
      </c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2">
        <f>SUM(E86:AC86)</f>
        <v/>
      </c>
    </row>
    <row r="87">
      <c r="A87" s="17" t="inlineStr">
        <is>
          <t>9.11</t>
        </is>
      </c>
      <c r="B87" s="18" t="inlineStr">
        <is>
          <t>SUMINISTRO E INSTALACIÓN DE BRIDA SANITARIA</t>
        </is>
      </c>
      <c r="C87" s="19" t="n">
        <v>0.0001861539751107149</v>
      </c>
      <c r="D87" s="20" t="n">
        <v>1</v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inlineStr">
        <is>
          <t>P</t>
        </is>
      </c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2">
        <f>SUM(E87:AC87)</f>
        <v/>
      </c>
    </row>
    <row r="88">
      <c r="A88" s="12" t="inlineStr">
        <is>
          <t>10</t>
        </is>
      </c>
      <c r="B88" s="13" t="inlineStr">
        <is>
          <t>COMPONENTE HIDROSANITARIO: INSTALACIONES PLUVIALES</t>
        </is>
      </c>
      <c r="C88" s="14">
        <f>SUM(C89:C93)</f>
        <v/>
      </c>
      <c r="D88" s="15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7" t="inlineStr">
        <is>
          <t>10.1</t>
        </is>
      </c>
      <c r="B89" s="18" t="inlineStr">
        <is>
          <t>SUMINISTRO E INSTALACIÓN DE TUBERÍA SANITARIA EN PVC 3", CON CAMA DE ARENA</t>
        </is>
      </c>
      <c r="C89" s="19" t="n">
        <v>0.001334309651701347</v>
      </c>
      <c r="D89" s="20" t="n">
        <v>6</v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inlineStr">
        <is>
          <t>P</t>
        </is>
      </c>
      <c r="P89" s="21" t="inlineStr">
        <is>
          <t>P</t>
        </is>
      </c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2">
        <f>SUM(E89:AC89)</f>
        <v/>
      </c>
    </row>
    <row r="90">
      <c r="A90" s="17" t="inlineStr">
        <is>
          <t>10.2</t>
        </is>
      </c>
      <c r="B90" s="18" t="inlineStr">
        <is>
          <t>SUMINISTRO E INSTALACIÓN DE TUBERÍA SANITARIA EN PVC 4", CON CAMA DE ARENA</t>
        </is>
      </c>
      <c r="C90" s="19" t="n">
        <v>0.002919496234229337</v>
      </c>
      <c r="D90" s="20" t="n">
        <v>6</v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inlineStr">
        <is>
          <t>P</t>
        </is>
      </c>
      <c r="P90" s="21" t="inlineStr">
        <is>
          <t>P</t>
        </is>
      </c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2">
        <f>SUM(E90:AC90)</f>
        <v/>
      </c>
    </row>
    <row r="91">
      <c r="A91" s="17" t="inlineStr">
        <is>
          <t>10.3</t>
        </is>
      </c>
      <c r="B91" s="18" t="inlineStr">
        <is>
          <t>SUMINISTRO E INSTALACIÓN DE REJILLA TIPO DOMO</t>
        </is>
      </c>
      <c r="C91" s="19" t="n">
        <v>4.177009630417874e-05</v>
      </c>
      <c r="D91" s="20" t="n">
        <v>1</v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inlineStr">
        <is>
          <t>P</t>
        </is>
      </c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2">
        <f>SUM(E91:AC91)</f>
        <v/>
      </c>
    </row>
    <row r="92">
      <c r="A92" s="17" t="inlineStr">
        <is>
          <t>10.4</t>
        </is>
      </c>
      <c r="B92" s="18" t="inlineStr">
        <is>
          <t>SUMINISTRO E INSTALACIÓN DE CÁRCAMO DE 0.40 X 0.40 M</t>
        </is>
      </c>
      <c r="C92" s="19" t="n">
        <v>0.001712895470729925</v>
      </c>
      <c r="D92" s="20" t="n">
        <v>3</v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inlineStr">
        <is>
          <t>P</t>
        </is>
      </c>
      <c r="P92" s="21" t="inlineStr">
        <is>
          <t>P</t>
        </is>
      </c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2">
        <f>SUM(E92:AC92)</f>
        <v/>
      </c>
    </row>
    <row r="93">
      <c r="A93" s="17" t="inlineStr">
        <is>
          <t>10.5</t>
        </is>
      </c>
      <c r="B93" s="18" t="inlineStr">
        <is>
          <t>SUMINISTRO E INSTALACIÓN DE VIGA CANAL EN LÁMINA GALVANIZADA</t>
        </is>
      </c>
      <c r="C93" s="19" t="n">
        <v>0.002439752053700393</v>
      </c>
      <c r="D93" s="20" t="n">
        <v>3</v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inlineStr">
        <is>
          <t>P</t>
        </is>
      </c>
      <c r="P93" s="21" t="inlineStr">
        <is>
          <t>P</t>
        </is>
      </c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2">
        <f>SUM(E93:AC93)</f>
        <v/>
      </c>
    </row>
    <row r="94">
      <c r="A94" s="12" t="inlineStr">
        <is>
          <t>11</t>
        </is>
      </c>
      <c r="B94" s="13" t="inlineStr">
        <is>
          <t>COMPONENTE HIDROSANITARIO: APARATOS SANITARIOS, GRIFERÍAS Y ACCESORIOS</t>
        </is>
      </c>
      <c r="C94" s="14">
        <f>SUM(C95:C107)</f>
        <v/>
      </c>
      <c r="D94" s="15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7" t="inlineStr">
        <is>
          <t>11.1</t>
        </is>
      </c>
      <c r="B95" s="18" t="inlineStr">
        <is>
          <t>SUMINISTRO E INSTALACIÓN DE SIFÓN Y GRIFERÍA PARA LAVAMANOS DE INCRUSTAR</t>
        </is>
      </c>
      <c r="C95" s="19" t="n">
        <v>0.0007774113252492665</v>
      </c>
      <c r="D95" s="20" t="n">
        <v>3</v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inlineStr">
        <is>
          <t>P</t>
        </is>
      </c>
      <c r="AA95" s="21" t="n"/>
      <c r="AB95" s="21" t="n"/>
      <c r="AC95" s="21" t="n"/>
      <c r="AD95" s="22">
        <f>SUM(E95:AC95)</f>
        <v/>
      </c>
    </row>
    <row r="96">
      <c r="A96" s="17" t="inlineStr">
        <is>
          <t>11.2</t>
        </is>
      </c>
      <c r="B96" s="18" t="inlineStr">
        <is>
          <t>SUMINISTRO E INSTALACIÓN DE SANITARIO PARA PERSONAS CON DISCAPACIDAD, CON ELEMENTOS DE FIJACIÓN</t>
        </is>
      </c>
      <c r="C96" s="19" t="n">
        <v>0.001807679367758996</v>
      </c>
      <c r="D96" s="20" t="n">
        <v>2</v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inlineStr">
        <is>
          <t>P</t>
        </is>
      </c>
      <c r="AA96" s="21" t="n"/>
      <c r="AB96" s="21" t="n"/>
      <c r="AC96" s="21" t="n"/>
      <c r="AD96" s="22">
        <f>SUM(E96:AC96)</f>
        <v/>
      </c>
    </row>
    <row r="97">
      <c r="A97" s="17" t="inlineStr">
        <is>
          <t>11.3</t>
        </is>
      </c>
      <c r="B97" s="18" t="inlineStr">
        <is>
          <t>SUMINISTRO E INSTALACIÓN DE SANITARIO CONVENCIONAL, CON ELEMENTOS DE FIJACIÓN</t>
        </is>
      </c>
      <c r="C97" s="19" t="n">
        <v>0.001957523874358034</v>
      </c>
      <c r="D97" s="20" t="n">
        <v>3</v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inlineStr">
        <is>
          <t>P</t>
        </is>
      </c>
      <c r="AA97" s="21" t="n"/>
      <c r="AB97" s="21" t="n"/>
      <c r="AC97" s="21" t="n"/>
      <c r="AD97" s="22">
        <f>SUM(E97:AC97)</f>
        <v/>
      </c>
    </row>
    <row r="98">
      <c r="A98" s="17" t="inlineStr">
        <is>
          <t>11.4</t>
        </is>
      </c>
      <c r="B98" s="18" t="inlineStr">
        <is>
          <t>SUMINISTRO E INSTALACIÓN DE FLOTADOR MECÁNICO Ø1"</t>
        </is>
      </c>
      <c r="C98" s="19" t="n">
        <v>0.0001571760480144504</v>
      </c>
      <c r="D98" s="20" t="n">
        <v>1</v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inlineStr">
        <is>
          <t>P</t>
        </is>
      </c>
      <c r="AA98" s="21" t="n"/>
      <c r="AB98" s="21" t="n"/>
      <c r="AC98" s="21" t="n"/>
      <c r="AD98" s="22">
        <f>SUM(E98:AC98)</f>
        <v/>
      </c>
    </row>
    <row r="99">
      <c r="A99" s="17" t="inlineStr">
        <is>
          <t>11.5</t>
        </is>
      </c>
      <c r="B99" s="18" t="inlineStr">
        <is>
          <t>SUMINISTRO E INSTALACIÓN DE REJILLA DE PISO CON SOSCO</t>
        </is>
      </c>
      <c r="C99" s="19" t="n">
        <v>0.0008503059189640698</v>
      </c>
      <c r="D99" s="20" t="n">
        <v>4</v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inlineStr">
        <is>
          <t>P</t>
        </is>
      </c>
      <c r="AA99" s="21" t="n"/>
      <c r="AB99" s="21" t="n"/>
      <c r="AC99" s="21" t="n"/>
      <c r="AD99" s="22">
        <f>SUM(E99:AC99)</f>
        <v/>
      </c>
    </row>
    <row r="100">
      <c r="A100" s="17" t="inlineStr">
        <is>
          <t>11.6</t>
        </is>
      </c>
      <c r="B100" s="18" t="inlineStr">
        <is>
          <t>SUMINISTRO E INSTALACIÓN DE GRIFERÍA MONOCONTROL TIPO CUELLO DE GANSO PARA POCETA Y LAVAMANOS</t>
        </is>
      </c>
      <c r="C100" s="19" t="n">
        <v>0.001786044564292071</v>
      </c>
      <c r="D100" s="20" t="n">
        <v>5</v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inlineStr">
        <is>
          <t>P</t>
        </is>
      </c>
      <c r="AA100" s="21" t="inlineStr">
        <is>
          <t>P</t>
        </is>
      </c>
      <c r="AB100" s="21" t="n"/>
      <c r="AC100" s="21" t="n"/>
      <c r="AD100" s="22">
        <f>SUM(E100:AC100)</f>
        <v/>
      </c>
    </row>
    <row r="101">
      <c r="A101" s="17" t="inlineStr">
        <is>
          <t>11.7</t>
        </is>
      </c>
      <c r="B101" s="18" t="inlineStr">
        <is>
          <t>SUMINISTRO E INSTALACIÓN DE BARRA DE APOYO PARA BAÑO DE PERSONAS CON DISCAPACIDAD, 1 ML</t>
        </is>
      </c>
      <c r="C101" s="19" t="n">
        <v>0.001732507710786262</v>
      </c>
      <c r="D101" s="20" t="n">
        <v>3</v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inlineStr">
        <is>
          <t>P</t>
        </is>
      </c>
      <c r="AA101" s="21" t="n"/>
      <c r="AB101" s="21" t="n"/>
      <c r="AC101" s="21" t="n"/>
      <c r="AD101" s="22">
        <f>SUM(E101:AC101)</f>
        <v/>
      </c>
    </row>
    <row r="102">
      <c r="A102" s="17" t="inlineStr">
        <is>
          <t>11.8</t>
        </is>
      </c>
      <c r="B102" s="18" t="inlineStr">
        <is>
          <t>SUMINISTRO E INSTALACIÓN DE ESPEJO PARA BAÑO 1 M X 0,6 M</t>
        </is>
      </c>
      <c r="C102" s="19" t="n">
        <v>0.000532669107065641</v>
      </c>
      <c r="D102" s="20" t="n">
        <v>2</v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inlineStr">
        <is>
          <t>P</t>
        </is>
      </c>
      <c r="AA102" s="21" t="n"/>
      <c r="AB102" s="21" t="n"/>
      <c r="AC102" s="21" t="n"/>
      <c r="AD102" s="22">
        <f>SUM(E102:AC102)</f>
        <v/>
      </c>
    </row>
    <row r="103">
      <c r="A103" s="17" t="inlineStr">
        <is>
          <t>11.9</t>
        </is>
      </c>
      <c r="B103" s="18" t="inlineStr">
        <is>
          <t>SUMINISTRO E INSTALACIÓN DE ORINAL</t>
        </is>
      </c>
      <c r="C103" s="19" t="n">
        <v>0.001129528388006596</v>
      </c>
      <c r="D103" s="20" t="n">
        <v>3</v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inlineStr">
        <is>
          <t>P</t>
        </is>
      </c>
      <c r="AA103" s="21" t="n"/>
      <c r="AB103" s="21" t="n"/>
      <c r="AC103" s="21" t="n"/>
      <c r="AD103" s="22">
        <f>SUM(E103:AC103)</f>
        <v/>
      </c>
    </row>
    <row r="104">
      <c r="A104" s="17" t="inlineStr">
        <is>
          <t>11.10</t>
        </is>
      </c>
      <c r="B104" s="18" t="inlineStr">
        <is>
          <t>SUMINISTRO E INSTALACIÓN DE LLAVE TIPO JARDÍN</t>
        </is>
      </c>
      <c r="C104" s="19" t="n">
        <v>0.000231279052715575</v>
      </c>
      <c r="D104" s="20" t="n">
        <v>2</v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inlineStr">
        <is>
          <t>P</t>
        </is>
      </c>
      <c r="AA104" s="21" t="n"/>
      <c r="AB104" s="21" t="n"/>
      <c r="AC104" s="21" t="n"/>
      <c r="AD104" s="22">
        <f>SUM(E104:AC104)</f>
        <v/>
      </c>
    </row>
    <row r="105">
      <c r="A105" s="17" t="inlineStr">
        <is>
          <t>11.11</t>
        </is>
      </c>
      <c r="B105" s="18" t="inlineStr">
        <is>
          <t>SUMINISTRO E INSTALACIÓN DE POCETA DE COCINA EN ACERO INOXIDABLE</t>
        </is>
      </c>
      <c r="C105" s="19" t="n">
        <v>0.0002233336539620627</v>
      </c>
      <c r="D105" s="20" t="n">
        <v>1</v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inlineStr">
        <is>
          <t>P</t>
        </is>
      </c>
      <c r="AA105" s="21" t="n"/>
      <c r="AB105" s="21" t="n"/>
      <c r="AC105" s="21" t="n"/>
      <c r="AD105" s="22">
        <f>SUM(E105:AC105)</f>
        <v/>
      </c>
    </row>
    <row r="106">
      <c r="A106" s="17" t="inlineStr">
        <is>
          <t>11.12</t>
        </is>
      </c>
      <c r="B106" s="18" t="inlineStr">
        <is>
          <t>SUMINISTRO E INSTALACIÓN DE LAVAMANOS DE INCRUSTAR</t>
        </is>
      </c>
      <c r="C106" s="19" t="n">
        <v>0.001736382347418442</v>
      </c>
      <c r="D106" s="20" t="n">
        <v>4</v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inlineStr">
        <is>
          <t>P</t>
        </is>
      </c>
      <c r="AA106" s="21" t="n"/>
      <c r="AB106" s="21" t="n"/>
      <c r="AC106" s="21" t="n"/>
      <c r="AD106" s="22">
        <f>SUM(E106:AC106)</f>
        <v/>
      </c>
    </row>
    <row r="107">
      <c r="A107" s="17" t="inlineStr">
        <is>
          <t>11.13</t>
        </is>
      </c>
      <c r="B107" s="18" t="inlineStr">
        <is>
          <t>SUMINSITRO E INSTALACION DE MESON PARA LAVAMANOS</t>
        </is>
      </c>
      <c r="C107" s="19" t="n">
        <v>0.0008383138490941916</v>
      </c>
      <c r="D107" s="20" t="n">
        <v>5</v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inlineStr">
        <is>
          <t>P</t>
        </is>
      </c>
      <c r="AA107" s="21" t="inlineStr">
        <is>
          <t>P</t>
        </is>
      </c>
      <c r="AB107" s="21" t="n"/>
      <c r="AC107" s="21" t="n"/>
      <c r="AD107" s="22">
        <f>SUM(E107:AC107)</f>
        <v/>
      </c>
    </row>
    <row r="108">
      <c r="A108" s="12" t="inlineStr">
        <is>
          <t>12</t>
        </is>
      </c>
      <c r="B108" s="13" t="inlineStr">
        <is>
          <t>COMPONENTE ELECTRICO: INSTALACIONES ELÉCTRICAS</t>
        </is>
      </c>
      <c r="C108" s="14">
        <f>SUM(C109:C121)</f>
        <v/>
      </c>
      <c r="D108" s="15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7" t="inlineStr">
        <is>
          <t>12.1</t>
        </is>
      </c>
      <c r="B109" s="18" t="inlineStr">
        <is>
          <t>SUMINISTRO E INSTALACIÓN DE POSTE METÁLICO GALVANIZADO DE 1.0 M CON BRAZO SENCILLO (INCLUYE PLANTILLA DE PERNOS)</t>
        </is>
      </c>
      <c r="C109" s="19" t="n">
        <v>0.02180350381779639</v>
      </c>
      <c r="D109" s="20" t="n">
        <v>10</v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inlineStr">
        <is>
          <t>P</t>
        </is>
      </c>
      <c r="V109" s="21" t="inlineStr">
        <is>
          <t>P</t>
        </is>
      </c>
      <c r="W109" s="21" t="inlineStr">
        <is>
          <t>P</t>
        </is>
      </c>
      <c r="X109" s="21" t="n"/>
      <c r="Y109" s="21" t="n"/>
      <c r="Z109" s="21" t="n"/>
      <c r="AA109" s="21" t="n"/>
      <c r="AB109" s="21" t="n"/>
      <c r="AC109" s="21" t="n"/>
      <c r="AD109" s="22">
        <f>SUM(E109:AC109)</f>
        <v/>
      </c>
    </row>
    <row r="110">
      <c r="A110" s="17" t="inlineStr">
        <is>
          <t>12.2</t>
        </is>
      </c>
      <c r="B110" s="18" t="inlineStr">
        <is>
          <t>CONSTRUCCIÓN DE DADO/BASE EN CONCRETO 3.000 PSI PARA ANCLAJE DE POSTE (0.4 X 0.4 X 0.8 M)</t>
        </is>
      </c>
      <c r="C110" s="19" t="n">
        <v>0.006249893899778069</v>
      </c>
      <c r="D110" s="20" t="n">
        <v>8</v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inlineStr">
        <is>
          <t>P</t>
        </is>
      </c>
      <c r="V110" s="21" t="inlineStr">
        <is>
          <t>P</t>
        </is>
      </c>
      <c r="W110" s="21" t="inlineStr">
        <is>
          <t>P</t>
        </is>
      </c>
      <c r="X110" s="21" t="n"/>
      <c r="Y110" s="21" t="n"/>
      <c r="Z110" s="21" t="n"/>
      <c r="AA110" s="21" t="n"/>
      <c r="AB110" s="21" t="n"/>
      <c r="AC110" s="21" t="n"/>
      <c r="AD110" s="22">
        <f>SUM(E110:AC110)</f>
        <v/>
      </c>
    </row>
    <row r="111">
      <c r="A111" s="17" t="inlineStr">
        <is>
          <t>12.3</t>
        </is>
      </c>
      <c r="B111" s="18" t="inlineStr">
        <is>
          <t>SUMINISTRO E INSTALACIÓN DE TABLERO DE DISTRIBUCIÓN CON PROTECCIONES</t>
        </is>
      </c>
      <c r="C111" s="19" t="n">
        <v>0.000830259423100252</v>
      </c>
      <c r="D111" s="20" t="n">
        <v>4</v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inlineStr">
        <is>
          <t>P</t>
        </is>
      </c>
      <c r="V111" s="21" t="inlineStr">
        <is>
          <t>P</t>
        </is>
      </c>
      <c r="W111" s="21" t="n"/>
      <c r="X111" s="21" t="n"/>
      <c r="Y111" s="21" t="n"/>
      <c r="Z111" s="21" t="n"/>
      <c r="AA111" s="21" t="n"/>
      <c r="AB111" s="21" t="n"/>
      <c r="AC111" s="21" t="n"/>
      <c r="AD111" s="22">
        <f>SUM(E111:AC111)</f>
        <v/>
      </c>
    </row>
    <row r="112">
      <c r="A112" s="17" t="inlineStr">
        <is>
          <t>12.4</t>
        </is>
      </c>
      <c r="B112" s="18" t="inlineStr">
        <is>
          <t>SUMINISTRO E INSTALACIÓN DE TABLERO PARCIAL DE 8 A 12 CIRCUITOS CON BREAKERS</t>
        </is>
      </c>
      <c r="C112" s="19" t="n">
        <v>0.0003607689765603524</v>
      </c>
      <c r="D112" s="20" t="n">
        <v>2</v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inlineStr">
        <is>
          <t>P</t>
        </is>
      </c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2">
        <f>SUM(E112:AC112)</f>
        <v/>
      </c>
    </row>
    <row r="113">
      <c r="A113" s="17" t="inlineStr">
        <is>
          <t>12.5</t>
        </is>
      </c>
      <c r="B113" s="18" t="inlineStr">
        <is>
          <t>SUMINISTRO E INSTALACIÓN DE RED DE BAJA TENSIÓN SUBTERRÁNEA EN CONDUCTOR #6 AWG Y DUCTO PVC SCH 40 (INTERCONEXIÓN DE TABLEROS Y CARGAS)</t>
        </is>
      </c>
      <c r="C113" s="19" t="n">
        <v>0.001184258209546824</v>
      </c>
      <c r="D113" s="20" t="n">
        <v>2</v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inlineStr">
        <is>
          <t>P</t>
        </is>
      </c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2">
        <f>SUM(E113:AC113)</f>
        <v/>
      </c>
    </row>
    <row r="114">
      <c r="A114" s="17" t="inlineStr">
        <is>
          <t>12.6</t>
        </is>
      </c>
      <c r="B114" s="18" t="inlineStr">
        <is>
          <t>SUMINISTRO E INSTALACIÓN DE SALIDA NORMAL PARA TOMACORRIENTE, CON APARATO Y ELEMENTOS DE FIJACIÓN</t>
        </is>
      </c>
      <c r="C114" s="19" t="n">
        <v>0.001415470857569221</v>
      </c>
      <c r="D114" s="20" t="n">
        <v>4</v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inlineStr">
        <is>
          <t>P</t>
        </is>
      </c>
      <c r="V114" s="21" t="inlineStr">
        <is>
          <t>P</t>
        </is>
      </c>
      <c r="W114" s="21" t="n"/>
      <c r="X114" s="21" t="n"/>
      <c r="Y114" s="21" t="n"/>
      <c r="Z114" s="21" t="n"/>
      <c r="AA114" s="21" t="n"/>
      <c r="AB114" s="21" t="n"/>
      <c r="AC114" s="21" t="n"/>
      <c r="AD114" s="22">
        <f>SUM(E114:AC114)</f>
        <v/>
      </c>
    </row>
    <row r="115">
      <c r="A115" s="17" t="inlineStr">
        <is>
          <t>12.7</t>
        </is>
      </c>
      <c r="B115" s="18" t="inlineStr">
        <is>
          <t>SUMINISTRO E INSTALACIÓN DE SISTEMA DE PUESTA A TIERRA CON ELECTRODO VERTICAL DE DIFUSIÓN 2.4 M X 5/8"</t>
        </is>
      </c>
      <c r="C115" s="19" t="n">
        <v>0.005957693946104806</v>
      </c>
      <c r="D115" s="20" t="n">
        <v>8</v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inlineStr">
        <is>
          <t>P</t>
        </is>
      </c>
      <c r="V115" s="21" t="inlineStr">
        <is>
          <t>P</t>
        </is>
      </c>
      <c r="W115" s="21" t="inlineStr">
        <is>
          <t>P</t>
        </is>
      </c>
      <c r="X115" s="21" t="n"/>
      <c r="Y115" s="21" t="n"/>
      <c r="Z115" s="21" t="n"/>
      <c r="AA115" s="21" t="n"/>
      <c r="AB115" s="21" t="n"/>
      <c r="AC115" s="21" t="n"/>
      <c r="AD115" s="22">
        <f>SUM(E115:AC115)</f>
        <v/>
      </c>
    </row>
    <row r="116">
      <c r="A116" s="17" t="inlineStr">
        <is>
          <t>12.8</t>
        </is>
      </c>
      <c r="B116" s="18" t="inlineStr">
        <is>
          <t>SUMINISTRO E INSTALACIÓN DE SALIDA (PUNTO) DE ILUMINACIÓN INTERIOR 110V EN CONDUCTOR #12 AWG Y PVC SCH 40, CON CAJA DE SALIDA</t>
        </is>
      </c>
      <c r="C116" s="19" t="n">
        <v>0.003135645054819055</v>
      </c>
      <c r="D116" s="20" t="n">
        <v>9</v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inlineStr">
        <is>
          <t>P</t>
        </is>
      </c>
      <c r="V116" s="21" t="inlineStr">
        <is>
          <t>P</t>
        </is>
      </c>
      <c r="W116" s="21" t="inlineStr">
        <is>
          <t>P</t>
        </is>
      </c>
      <c r="X116" s="21" t="n"/>
      <c r="Y116" s="21" t="n"/>
      <c r="Z116" s="21" t="n"/>
      <c r="AA116" s="21" t="n"/>
      <c r="AB116" s="21" t="n"/>
      <c r="AC116" s="21" t="n"/>
      <c r="AD116" s="22">
        <f>SUM(E116:AC116)</f>
        <v/>
      </c>
    </row>
    <row r="117">
      <c r="A117" s="17" t="inlineStr">
        <is>
          <t>12.9</t>
        </is>
      </c>
      <c r="B117" s="18" t="inlineStr">
        <is>
          <t>SUMINISTRO E INSTALACIÓN DE SALIDA PARA INTERRUPTOR SENCILLO (APAGADOR) EN PVC SCH 40 1/2" Y CONDUCTOR #12 AWG (CON CAJA 2X4)</t>
        </is>
      </c>
      <c r="C117" s="19" t="n">
        <v>0.0002062730528484715</v>
      </c>
      <c r="D117" s="20" t="n">
        <v>1</v>
      </c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inlineStr">
        <is>
          <t>P</t>
        </is>
      </c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2">
        <f>SUM(E117:AC117)</f>
        <v/>
      </c>
    </row>
    <row r="118">
      <c r="A118" s="17" t="inlineStr">
        <is>
          <t>12.10</t>
        </is>
      </c>
      <c r="B118" s="18" t="inlineStr">
        <is>
          <t>SUMINISTRO E INSTALACIÓN DE PANEL LED REDONDO DE SOBREPONER 18W PARA ILUMINACIÓN INTERIOR</t>
        </is>
      </c>
      <c r="C118" s="19" t="n">
        <v>0.001702522131078401</v>
      </c>
      <c r="D118" s="20" t="n">
        <v>6</v>
      </c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inlineStr">
        <is>
          <t>P</t>
        </is>
      </c>
      <c r="V118" s="21" t="inlineStr">
        <is>
          <t>P</t>
        </is>
      </c>
      <c r="W118" s="21" t="n"/>
      <c r="X118" s="21" t="n"/>
      <c r="Y118" s="21" t="n"/>
      <c r="Z118" s="21" t="n"/>
      <c r="AA118" s="21" t="n"/>
      <c r="AB118" s="21" t="n"/>
      <c r="AC118" s="21" t="n"/>
      <c r="AD118" s="22">
        <f>SUM(E118:AC118)</f>
        <v/>
      </c>
    </row>
    <row r="119">
      <c r="A119" s="17" t="inlineStr">
        <is>
          <t>12.11</t>
        </is>
      </c>
      <c r="B119" s="18" t="inlineStr">
        <is>
          <t>SUMINISTRO E INSTALACIÓN DE SALIDA PARA INTERRUPTOR DOBLE/CONMUTABLE (APAGADOR) EN CONDUIT PVC SCH 40 1/2" Y CONDUCTOR #12 AWG (CON CAJA 2X4)</t>
        </is>
      </c>
      <c r="C119" s="19" t="n">
        <v>0.0002451784815748533</v>
      </c>
      <c r="D119" s="20" t="n">
        <v>1</v>
      </c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inlineStr">
        <is>
          <t>P</t>
        </is>
      </c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2">
        <f>SUM(E119:AC119)</f>
        <v/>
      </c>
    </row>
    <row r="120">
      <c r="A120" s="17" t="inlineStr">
        <is>
          <t>12.12</t>
        </is>
      </c>
      <c r="B120" s="18" t="inlineStr">
        <is>
          <t>SUMINISTRO E INSTALACIÓN DE REGISTROS DE 40 X 40</t>
        </is>
      </c>
      <c r="C120" s="19" t="n">
        <v>0.001621544696338159</v>
      </c>
      <c r="D120" s="20" t="n">
        <v>6</v>
      </c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inlineStr">
        <is>
          <t>P</t>
        </is>
      </c>
      <c r="V120" s="21" t="inlineStr">
        <is>
          <t>P</t>
        </is>
      </c>
      <c r="W120" s="21" t="n"/>
      <c r="X120" s="21" t="n"/>
      <c r="Y120" s="21" t="n"/>
      <c r="Z120" s="21" t="n"/>
      <c r="AA120" s="21" t="n"/>
      <c r="AB120" s="21" t="n"/>
      <c r="AC120" s="21" t="n"/>
      <c r="AD120" s="22">
        <f>SUM(E120:AC120)</f>
        <v/>
      </c>
    </row>
    <row r="121">
      <c r="A121" s="17" t="inlineStr">
        <is>
          <t>12.13</t>
        </is>
      </c>
      <c r="B121" s="18" t="inlineStr">
        <is>
          <t>SUMINISTRO E INSTALACION SALIDA PARA TOMACORRIENTE GFCI, INCLUYE APARATO Y ELEMENTOS DE FIJACIÓN</t>
        </is>
      </c>
      <c r="C121" s="19" t="n">
        <v>0.0001472168883329343</v>
      </c>
      <c r="D121" s="20" t="n">
        <v>1</v>
      </c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inlineStr">
        <is>
          <t>P</t>
        </is>
      </c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2">
        <f>SUM(E121:AC121)</f>
        <v/>
      </c>
    </row>
    <row r="122">
      <c r="A122" s="12" t="inlineStr">
        <is>
          <t>13</t>
        </is>
      </c>
      <c r="B122" s="13" t="inlineStr">
        <is>
          <t>COMPONENTE ELECTRICO: SISTEMA FOTOVOLTAICO</t>
        </is>
      </c>
      <c r="C122" s="14">
        <f>SUM(C123:C132)</f>
        <v/>
      </c>
      <c r="D122" s="15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7" t="inlineStr">
        <is>
          <t>13.1</t>
        </is>
      </c>
      <c r="B123" s="18" t="inlineStr">
        <is>
          <t>SUMINISTRO E INSTALACIÓN DE LUMINARIA SOLAR LED DE ALUMBRADO PÚBLICO 35W (CON MONTAJE Y CONEXIÓN)</t>
        </is>
      </c>
      <c r="C123" s="19" t="n">
        <v>0.1048635024696508</v>
      </c>
      <c r="D123" s="20" t="n">
        <v>10</v>
      </c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inlineStr">
        <is>
          <t>P</t>
        </is>
      </c>
      <c r="Y123" s="21" t="inlineStr">
        <is>
          <t>P</t>
        </is>
      </c>
      <c r="Z123" s="21" t="inlineStr">
        <is>
          <t>P</t>
        </is>
      </c>
      <c r="AA123" s="21" t="n"/>
      <c r="AB123" s="21" t="n"/>
      <c r="AC123" s="21" t="n"/>
      <c r="AD123" s="22">
        <f>SUM(E123:AC123)</f>
        <v/>
      </c>
    </row>
    <row r="124">
      <c r="A124" s="17" t="inlineStr">
        <is>
          <t>13.2</t>
        </is>
      </c>
      <c r="B124" s="18" t="inlineStr">
        <is>
          <t>SUMINISTRO E INSTALACIÓN DE REFLECTOR SOLAR LED 35W PARA EXTERIOR Y SALA POLIVALENTE (CON MONTAJE)</t>
        </is>
      </c>
      <c r="C124" s="19" t="n">
        <v>0.003618695957423987</v>
      </c>
      <c r="D124" s="20" t="n">
        <v>5</v>
      </c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inlineStr">
        <is>
          <t>P</t>
        </is>
      </c>
      <c r="Y124" s="21" t="inlineStr">
        <is>
          <t>P</t>
        </is>
      </c>
      <c r="Z124" s="21" t="n"/>
      <c r="AA124" s="21" t="n"/>
      <c r="AB124" s="21" t="n"/>
      <c r="AC124" s="21" t="n"/>
      <c r="AD124" s="22">
        <f>SUM(E124:AC124)</f>
        <v/>
      </c>
    </row>
    <row r="125">
      <c r="A125" s="17" t="inlineStr">
        <is>
          <t>13.3</t>
        </is>
      </c>
      <c r="B125" s="18" t="inlineStr">
        <is>
          <t>SUMINISTRO E INSTALACIÓN DE MÓDULO SOLAR DE 630W CON ESTRUCTURA DE SOPORTE</t>
        </is>
      </c>
      <c r="C125" s="19" t="n">
        <v>0.008698829490900707</v>
      </c>
      <c r="D125" s="20" t="n">
        <v>5</v>
      </c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inlineStr">
        <is>
          <t>P</t>
        </is>
      </c>
      <c r="Y125" s="21" t="inlineStr">
        <is>
          <t>P</t>
        </is>
      </c>
      <c r="Z125" s="21" t="n"/>
      <c r="AA125" s="21" t="n"/>
      <c r="AB125" s="21" t="n"/>
      <c r="AC125" s="21" t="n"/>
      <c r="AD125" s="22">
        <f>SUM(E125:AC125)</f>
        <v/>
      </c>
    </row>
    <row r="126">
      <c r="A126" s="17" t="inlineStr">
        <is>
          <t>13.4</t>
        </is>
      </c>
      <c r="B126" s="18" t="inlineStr">
        <is>
          <t>SUMINISTRO E INSTALACIÓN DE BANCO DE BATERÍAS DE LITIO 200AH 51.2V (CON CABLEADO Y BMS)</t>
        </is>
      </c>
      <c r="C126" s="19" t="n">
        <v>0.01258680265634242</v>
      </c>
      <c r="D126" s="20" t="n">
        <v>3</v>
      </c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inlineStr">
        <is>
          <t>P</t>
        </is>
      </c>
      <c r="Y126" s="21" t="inlineStr">
        <is>
          <t>P</t>
        </is>
      </c>
      <c r="Z126" s="21" t="n"/>
      <c r="AA126" s="21" t="n"/>
      <c r="AB126" s="21" t="n"/>
      <c r="AC126" s="21" t="n"/>
      <c r="AD126" s="22">
        <f>SUM(E126:AC126)</f>
        <v/>
      </c>
    </row>
    <row r="127">
      <c r="A127" s="17" t="inlineStr">
        <is>
          <t>13.5</t>
        </is>
      </c>
      <c r="B127" s="18" t="inlineStr">
        <is>
          <t>SUMINISTRO E INSTALACIÓN DE INVERSOR-CARGADOR HÍBRIDO DE 10KW 48V</t>
        </is>
      </c>
      <c r="C127" s="19" t="n">
        <v>0.009738921567262812</v>
      </c>
      <c r="D127" s="20" t="n">
        <v>4</v>
      </c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inlineStr">
        <is>
          <t>P</t>
        </is>
      </c>
      <c r="Y127" s="21" t="inlineStr">
        <is>
          <t>P</t>
        </is>
      </c>
      <c r="Z127" s="21" t="n"/>
      <c r="AA127" s="21" t="n"/>
      <c r="AB127" s="21" t="n"/>
      <c r="AC127" s="21" t="n"/>
      <c r="AD127" s="22">
        <f>SUM(E127:AC127)</f>
        <v/>
      </c>
    </row>
    <row r="128">
      <c r="A128" s="17" t="inlineStr">
        <is>
          <t>13.6</t>
        </is>
      </c>
      <c r="B128" s="18" t="inlineStr">
        <is>
          <t>SUMINISTRO E INSTALACIÓN DE CABLEADO FOTOVOLTAICO DC 4MM² (STRING) CON CONECTORES</t>
        </is>
      </c>
      <c r="C128" s="19" t="n">
        <v>0.003079610303843119</v>
      </c>
      <c r="D128" s="20" t="n">
        <v>8</v>
      </c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inlineStr">
        <is>
          <t>P</t>
        </is>
      </c>
      <c r="Y128" s="21" t="inlineStr">
        <is>
          <t>P</t>
        </is>
      </c>
      <c r="Z128" s="21" t="inlineStr">
        <is>
          <t>P</t>
        </is>
      </c>
      <c r="AA128" s="21" t="n"/>
      <c r="AB128" s="21" t="n"/>
      <c r="AC128" s="21" t="n"/>
      <c r="AD128" s="22">
        <f>SUM(E128:AC128)</f>
        <v/>
      </c>
    </row>
    <row r="129">
      <c r="A129" s="17" t="inlineStr">
        <is>
          <t>13.7</t>
        </is>
      </c>
      <c r="B129" s="18" t="inlineStr">
        <is>
          <t>SUMINISTRO E INSTALACIÓN DE CABLEADO AC #6 AWG A SALIDA DE INVERSOR, CON ACCESORIOS</t>
        </is>
      </c>
      <c r="C129" s="19" t="n">
        <v>0.000615957579557998</v>
      </c>
      <c r="D129" s="20" t="n">
        <v>2</v>
      </c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inlineStr">
        <is>
          <t>P</t>
        </is>
      </c>
      <c r="Y129" s="21" t="inlineStr">
        <is>
          <t>P</t>
        </is>
      </c>
      <c r="Z129" s="21" t="n"/>
      <c r="AA129" s="21" t="n"/>
      <c r="AB129" s="21" t="n"/>
      <c r="AC129" s="21" t="n"/>
      <c r="AD129" s="22">
        <f>SUM(E129:AC129)</f>
        <v/>
      </c>
    </row>
    <row r="130">
      <c r="A130" s="17" t="inlineStr">
        <is>
          <t>13.8</t>
        </is>
      </c>
      <c r="B130" s="18" t="inlineStr">
        <is>
          <t>SUMINISTRO E INSTALACIÓN DE TABLERO DE PROTECCIONES DC/AC (COFRE IP65, BREAKERS, DPS Y FUSIBLES)</t>
        </is>
      </c>
      <c r="C130" s="19" t="n">
        <v>0.001948123749535365</v>
      </c>
      <c r="D130" s="20" t="n">
        <v>4</v>
      </c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inlineStr">
        <is>
          <t>P</t>
        </is>
      </c>
      <c r="Y130" s="21" t="inlineStr">
        <is>
          <t>P</t>
        </is>
      </c>
      <c r="Z130" s="21" t="n"/>
      <c r="AA130" s="21" t="n"/>
      <c r="AB130" s="21" t="n"/>
      <c r="AC130" s="21" t="n"/>
      <c r="AD130" s="22">
        <f>SUM(E130:AC130)</f>
        <v/>
      </c>
    </row>
    <row r="131">
      <c r="A131" s="17" t="inlineStr">
        <is>
          <t>13.9</t>
        </is>
      </c>
      <c r="B131" s="18" t="inlineStr">
        <is>
          <t>SUMINISTRO E INSTALACIÓN DE CANALIZACIÓN EN TUBERÍA IMC 1-1/4" CON ACCESORIOS Y SOPORTE TIPO CHANNEL</t>
        </is>
      </c>
      <c r="C131" s="19" t="n">
        <v>0.0007137871355611561</v>
      </c>
      <c r="D131" s="20" t="n">
        <v>2</v>
      </c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inlineStr">
        <is>
          <t>P</t>
        </is>
      </c>
      <c r="Y131" s="21" t="inlineStr">
        <is>
          <t>P</t>
        </is>
      </c>
      <c r="Z131" s="21" t="n"/>
      <c r="AA131" s="21" t="n"/>
      <c r="AB131" s="21" t="n"/>
      <c r="AC131" s="21" t="n"/>
      <c r="AD131" s="22">
        <f>SUM(E131:AC131)</f>
        <v/>
      </c>
    </row>
    <row r="132">
      <c r="A132" s="17" t="inlineStr">
        <is>
          <t>13.10</t>
        </is>
      </c>
      <c r="B132" s="18" t="inlineStr">
        <is>
          <t>SUMINISTRO E INSTALACIÓN DE SENSORES DE MOVIMIENTO PARA BAÑOS</t>
        </is>
      </c>
      <c r="C132" s="19" t="n">
        <v>0.0001012872329339868</v>
      </c>
      <c r="D132" s="20" t="n">
        <v>1</v>
      </c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inlineStr">
        <is>
          <t>P</t>
        </is>
      </c>
      <c r="Y132" s="21" t="n"/>
      <c r="Z132" s="21" t="n"/>
      <c r="AA132" s="21" t="n"/>
      <c r="AB132" s="21" t="n"/>
      <c r="AC132" s="21" t="n"/>
      <c r="AD132" s="22">
        <f>SUM(E132:AC132)</f>
        <v/>
      </c>
    </row>
    <row r="133">
      <c r="A133" s="12" t="inlineStr">
        <is>
          <t>14</t>
        </is>
      </c>
      <c r="B133" s="13" t="inlineStr">
        <is>
          <t>AREA RECREATIVA GIMNASIO BIOSALUDABLE</t>
        </is>
      </c>
      <c r="C133" s="14">
        <f>SUM(C134:C139)</f>
        <v/>
      </c>
      <c r="D133" s="15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7" t="inlineStr">
        <is>
          <t>14.1</t>
        </is>
      </c>
      <c r="B134" s="18" t="inlineStr">
        <is>
          <t>SUMINISTRO E INSTALACIÓN DE MÁQUINA BIOSALUDABLE DE BARRAS PARALELAS, EMPOTRADA. COMPRENDE PERFORACIÓN DE PLANTILLA EN CONCRETO DE 40×40 CM Y PROFUNDIDAD 30–40 CM, SUMINISTRO DE CEMENTO, ARENA, PIEDRA Y AGUA PARA RELLENO, APLOME, NIVELACIÓN Y LIMPIEZA</t>
        </is>
      </c>
      <c r="C134" s="19" t="n">
        <v>0.001841460052896743</v>
      </c>
      <c r="D134" s="20" t="n">
        <v>1</v>
      </c>
      <c r="E134" s="21" t="n"/>
      <c r="F134" s="21" t="n"/>
      <c r="G134" s="21" t="n"/>
      <c r="H134" s="21" t="n"/>
      <c r="I134" s="21" t="n"/>
      <c r="J134" s="21" t="n"/>
      <c r="K134" s="21" t="inlineStr">
        <is>
          <t>P</t>
        </is>
      </c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2">
        <f>SUM(E134:AC134)</f>
        <v/>
      </c>
    </row>
    <row r="135">
      <c r="A135" s="17" t="inlineStr">
        <is>
          <t>14.2</t>
        </is>
      </c>
      <c r="B135" s="18" t="inlineStr">
        <is>
          <t>SUMINISTRO E INSTALACIÓN DE MÁQUINA BIOSALUDABLE TIPO CAMINADOR AÉREO, EMPOTRADA. COMPRENDE PERFORACIÓN DE PLANTILLA EN CONCRETO DE 40×40 CM Y PROFUNDIDAD 30–40 CM, SUMINISTRO DE CEMENTO, ARENA, PIEDRA Y AGUA PARA RELLENO, APLOME, NIVELACIÓN Y LIMPIEZA</t>
        </is>
      </c>
      <c r="C135" s="19" t="n">
        <v>0.002024051339003696</v>
      </c>
      <c r="D135" s="20" t="n">
        <v>1</v>
      </c>
      <c r="E135" s="21" t="n"/>
      <c r="F135" s="21" t="n"/>
      <c r="G135" s="21" t="n"/>
      <c r="H135" s="21" t="n"/>
      <c r="I135" s="21" t="n"/>
      <c r="J135" s="21" t="n"/>
      <c r="K135" s="21" t="inlineStr">
        <is>
          <t>P</t>
        </is>
      </c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2">
        <f>SUM(E135:AC135)</f>
        <v/>
      </c>
    </row>
    <row r="136">
      <c r="A136" s="17" t="inlineStr">
        <is>
          <t>14.3</t>
        </is>
      </c>
      <c r="B136" s="18" t="inlineStr">
        <is>
          <t>SUMINISTRO E INSTALACIÓN DE MÁQUINA BIOSALUDABLE TIPO PONY, EMPOTRADA. COMPRENDE PERFORACIÓN DE PLANTILLA EN CONCRETO DE 40×40 CM Y PROFUNDIDAD 30–40 CM, SUMINISTRO DE CEMENTO, ARENA, PIEDRA Y AGUA PARA RELLENO, APLOME, NIVELACIÓN Y LIMPIEZA</t>
        </is>
      </c>
      <c r="C136" s="19" t="n">
        <v>0.003863372543062029</v>
      </c>
      <c r="D136" s="20" t="n">
        <v>2</v>
      </c>
      <c r="E136" s="21" t="n"/>
      <c r="F136" s="21" t="n"/>
      <c r="G136" s="21" t="n"/>
      <c r="H136" s="21" t="n"/>
      <c r="I136" s="21" t="n"/>
      <c r="J136" s="21" t="n"/>
      <c r="K136" s="21" t="inlineStr">
        <is>
          <t>P</t>
        </is>
      </c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2">
        <f>SUM(E136:AC136)</f>
        <v/>
      </c>
    </row>
    <row r="137">
      <c r="A137" s="17" t="inlineStr">
        <is>
          <t>14.4</t>
        </is>
      </c>
      <c r="B137" s="18" t="inlineStr">
        <is>
          <t>SUMINISTRO E INSTALACIÓN DE MÁQUINA BIOSALUDABLE DE GIRO DE CADERA (TWISTER), EMPOTRADA. COMPRENDE PERFORACIÓN DE PLANTILLA EN CONCRETO DE 40×40 CM Y PROFUNDIDAD 30–40 CM, SUMINISTRO DE CEMENTO, ARENA, PIEDRA Y AGUA PARA RELLENO, APLOME, NIVELACIÓN Y LIMPIEZA</t>
        </is>
      </c>
      <c r="C137" s="19" t="n">
        <v>0.002191888428863603</v>
      </c>
      <c r="D137" s="20" t="n">
        <v>1</v>
      </c>
      <c r="E137" s="21" t="n"/>
      <c r="F137" s="21" t="n"/>
      <c r="G137" s="21" t="n"/>
      <c r="H137" s="21" t="n"/>
      <c r="I137" s="21" t="n"/>
      <c r="J137" s="21" t="n"/>
      <c r="K137" s="21" t="inlineStr">
        <is>
          <t>P</t>
        </is>
      </c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2">
        <f>SUM(E137:AC137)</f>
        <v/>
      </c>
    </row>
    <row r="138">
      <c r="A138" s="17" t="inlineStr">
        <is>
          <t>14.5</t>
        </is>
      </c>
      <c r="B138" s="18" t="inlineStr">
        <is>
          <t>SUMINISTRO E INSTALACIÓN DE MÁQUINA BIOSALUDABLE TIPO CICLA, EMPOTRADA. COMPRENDE PERFORACIÓN DE PLANTILLA EN CONCRETO DE 40×40 CM Y PROFUNDIDAD 30–40 CM, SUMINISTRO DE CEMENTO, ARENA, PIEDRA Y AGUA PARA RELLENO, APLOME, NIVELACIÓN Y LIMPIEZA</t>
        </is>
      </c>
      <c r="C138" s="19" t="n">
        <v>0.004089398675688184</v>
      </c>
      <c r="D138" s="20" t="n">
        <v>2</v>
      </c>
      <c r="E138" s="21" t="n"/>
      <c r="F138" s="21" t="n"/>
      <c r="G138" s="21" t="n"/>
      <c r="H138" s="21" t="n"/>
      <c r="I138" s="21" t="n"/>
      <c r="J138" s="21" t="n"/>
      <c r="K138" s="21" t="inlineStr">
        <is>
          <t>P</t>
        </is>
      </c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2">
        <f>SUM(E138:AC138)</f>
        <v/>
      </c>
    </row>
    <row r="139">
      <c r="A139" s="17" t="inlineStr">
        <is>
          <t>14.6</t>
        </is>
      </c>
      <c r="B139" s="18" t="inlineStr">
        <is>
          <t>SUMINISTRO E INSTALACIÓN DE MÁQUINA BIOSALUDABLE TIPO DOBLE SWINGER, EMPOTRADA. COMPRENDE PERFORACIÓN DE PLANTILLA EN CONCRETO DE 40×40 CM Y PROFUNDIDAD 30–40 CM, SUMINISTRO DE CEMENTO, ARENA, PIEDRA Y AGUA PARA RELLENO, APLOME, NIVELACIÓN Y LIMPIEZA</t>
        </is>
      </c>
      <c r="C139" s="19" t="n">
        <v>0.002044699337844092</v>
      </c>
      <c r="D139" s="20" t="n">
        <v>1</v>
      </c>
      <c r="E139" s="21" t="n"/>
      <c r="F139" s="21" t="n"/>
      <c r="G139" s="21" t="n"/>
      <c r="H139" s="21" t="n"/>
      <c r="I139" s="21" t="n"/>
      <c r="J139" s="21" t="n"/>
      <c r="K139" s="21" t="inlineStr">
        <is>
          <t>P</t>
        </is>
      </c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2">
        <f>SUM(E139:AC139)</f>
        <v/>
      </c>
    </row>
    <row r="140">
      <c r="A140" s="12" t="inlineStr">
        <is>
          <t>15</t>
        </is>
      </c>
      <c r="B140" s="13" t="inlineStr">
        <is>
          <t>ESPACIO PUBLICO: PAISAJISMO Y OBRAS EXTERIORES</t>
        </is>
      </c>
      <c r="C140" s="14">
        <f>SUM(C141:C144)</f>
        <v/>
      </c>
      <c r="D140" s="15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7" t="inlineStr">
        <is>
          <t>15.1</t>
        </is>
      </c>
      <c r="B141" s="18" t="inlineStr">
        <is>
          <t>SUMINISTRO E INSTALACIÓN DE CONCRETO CEPILLADO 4.000 PSI PARA ANDENES, E=0.15 M</t>
        </is>
      </c>
      <c r="C141" s="19" t="n">
        <v>0.01716235317937743</v>
      </c>
      <c r="D141" s="20" t="n">
        <v>1</v>
      </c>
      <c r="E141" s="21" t="n"/>
      <c r="F141" s="21" t="n"/>
      <c r="G141" s="21" t="n"/>
      <c r="H141" s="21" t="n"/>
      <c r="I141" s="21" t="n"/>
      <c r="J141" s="21" t="n"/>
      <c r="K141" s="21" t="inlineStr">
        <is>
          <t>P</t>
        </is>
      </c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2">
        <f>SUM(E141:AC141)</f>
        <v/>
      </c>
    </row>
    <row r="142">
      <c r="A142" s="17" t="inlineStr">
        <is>
          <t>15.2</t>
        </is>
      </c>
      <c r="B142" s="18" t="inlineStr">
        <is>
          <t>ADECUACIÓN PAISAJÍSTICA Y EMPRADIZACIÓN DEL PROYECTO</t>
        </is>
      </c>
      <c r="C142" s="19" t="n">
        <v>0.02480741122712135</v>
      </c>
      <c r="D142" s="20" t="n">
        <v>10</v>
      </c>
      <c r="E142" s="21" t="n"/>
      <c r="F142" s="21" t="n"/>
      <c r="G142" s="21" t="n"/>
      <c r="H142" s="21" t="n"/>
      <c r="I142" s="21" t="n"/>
      <c r="J142" s="21" t="n"/>
      <c r="K142" s="21" t="inlineStr">
        <is>
          <t>P</t>
        </is>
      </c>
      <c r="L142" s="21" t="inlineStr">
        <is>
          <t>P</t>
        </is>
      </c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2">
        <f>SUM(E142:AC142)</f>
        <v/>
      </c>
    </row>
    <row r="143">
      <c r="A143" s="17" t="inlineStr">
        <is>
          <t>15.3</t>
        </is>
      </c>
      <c r="B143" s="18" t="inlineStr">
        <is>
          <t>SUMINISTRO E INSTALACIÓN DE ÁRBOL NATIVO DE 1,0 A 1,5 M — CASSIA FISTULA (LLUVIA DE ORO)</t>
        </is>
      </c>
      <c r="C143" s="19" t="n">
        <v>0.004719829389768614</v>
      </c>
      <c r="D143" s="20" t="n">
        <v>3</v>
      </c>
      <c r="E143" s="21" t="n"/>
      <c r="F143" s="21" t="n"/>
      <c r="G143" s="21" t="n"/>
      <c r="H143" s="21" t="n"/>
      <c r="I143" s="21" t="n"/>
      <c r="J143" s="21" t="n"/>
      <c r="K143" s="21" t="inlineStr">
        <is>
          <t>P</t>
        </is>
      </c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2">
        <f>SUM(E143:AC143)</f>
        <v/>
      </c>
    </row>
    <row r="144">
      <c r="A144" s="17" t="inlineStr">
        <is>
          <t>15.4</t>
        </is>
      </c>
      <c r="B144" s="18" t="inlineStr">
        <is>
          <t>SUMINISTRO E INSTALACIÓN DE BANCAS</t>
        </is>
      </c>
      <c r="C144" s="19" t="n">
        <v>0.00964139006023136</v>
      </c>
      <c r="D144" s="20" t="n">
        <v>2</v>
      </c>
      <c r="E144" s="21" t="n"/>
      <c r="F144" s="21" t="n"/>
      <c r="G144" s="21" t="n"/>
      <c r="H144" s="21" t="n"/>
      <c r="I144" s="21" t="n"/>
      <c r="J144" s="21" t="n"/>
      <c r="K144" s="21" t="inlineStr">
        <is>
          <t>P</t>
        </is>
      </c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2">
        <f>SUM(E144:AC144)</f>
        <v/>
      </c>
    </row>
    <row r="145">
      <c r="A145" s="12" t="inlineStr">
        <is>
          <t>16</t>
        </is>
      </c>
      <c r="B145" s="13" t="inlineStr">
        <is>
          <t>CIERRE DE OBRA: ASEO Y LIMPIEZA GENERAL</t>
        </is>
      </c>
      <c r="C145" s="14">
        <f>SUM(C146:C146)</f>
        <v/>
      </c>
      <c r="D145" s="15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7" t="inlineStr">
        <is>
          <t>16.1</t>
        </is>
      </c>
      <c r="B146" s="18" t="inlineStr">
        <is>
          <t>LIMPIEZA Y ASEO GENERAL PARA ENTREGA DE OBRA</t>
        </is>
      </c>
      <c r="C146" s="19" t="n">
        <v>0.005394346642938504</v>
      </c>
      <c r="D146" s="20" t="n">
        <v>12</v>
      </c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inlineStr">
        <is>
          <t>P</t>
        </is>
      </c>
      <c r="AB146" s="21" t="inlineStr">
        <is>
          <t>P</t>
        </is>
      </c>
      <c r="AC146" s="21" t="inlineStr">
        <is>
          <t>P</t>
        </is>
      </c>
      <c r="AD146" s="22">
        <f>SUM(E146:AC146)</f>
        <v/>
      </c>
    </row>
    <row r="148">
      <c r="B148" s="23" t="inlineStr">
        <is>
          <t>% AVANCE EJECUTADO SEMANAL</t>
        </is>
      </c>
      <c r="E148" s="24">
        <f>SUMPRODUCT($C$7:$C$146,E7:E146)</f>
        <v/>
      </c>
      <c r="F148" s="24">
        <f>SUMPRODUCT($C$7:$C$146,F7:F146)</f>
        <v/>
      </c>
      <c r="G148" s="24">
        <f>SUMPRODUCT($C$7:$C$146,G7:G146)</f>
        <v/>
      </c>
      <c r="H148" s="24">
        <f>SUMPRODUCT($C$7:$C$146,H7:H146)</f>
        <v/>
      </c>
      <c r="I148" s="24">
        <f>SUMPRODUCT($C$7:$C$146,I7:I146)</f>
        <v/>
      </c>
      <c r="J148" s="24">
        <f>SUMPRODUCT($C$7:$C$146,J7:J146)</f>
        <v/>
      </c>
      <c r="K148" s="24">
        <f>SUMPRODUCT($C$7:$C$146,K7:K146)</f>
        <v/>
      </c>
      <c r="L148" s="24">
        <f>SUMPRODUCT($C$7:$C$146,L7:L146)</f>
        <v/>
      </c>
      <c r="M148" s="24">
        <f>SUMPRODUCT($C$7:$C$146,M7:M146)</f>
        <v/>
      </c>
      <c r="N148" s="24">
        <f>SUMPRODUCT($C$7:$C$146,N7:N146)</f>
        <v/>
      </c>
      <c r="O148" s="24">
        <f>SUMPRODUCT($C$7:$C$146,O7:O146)</f>
        <v/>
      </c>
      <c r="P148" s="24">
        <f>SUMPRODUCT($C$7:$C$146,P7:P146)</f>
        <v/>
      </c>
      <c r="Q148" s="24">
        <f>SUMPRODUCT($C$7:$C$146,Q7:Q146)</f>
        <v/>
      </c>
      <c r="R148" s="24">
        <f>SUMPRODUCT($C$7:$C$146,R7:R146)</f>
        <v/>
      </c>
      <c r="S148" s="24">
        <f>SUMPRODUCT($C$7:$C$146,S7:S146)</f>
        <v/>
      </c>
      <c r="T148" s="24">
        <f>SUMPRODUCT($C$7:$C$146,T7:T146)</f>
        <v/>
      </c>
      <c r="U148" s="24">
        <f>SUMPRODUCT($C$7:$C$146,U7:U146)</f>
        <v/>
      </c>
      <c r="V148" s="24">
        <f>SUMPRODUCT($C$7:$C$146,V7:V146)</f>
        <v/>
      </c>
      <c r="W148" s="24">
        <f>SUMPRODUCT($C$7:$C$146,W7:W146)</f>
        <v/>
      </c>
      <c r="X148" s="24">
        <f>SUMPRODUCT($C$7:$C$146,X7:X146)</f>
        <v/>
      </c>
      <c r="Y148" s="24">
        <f>SUMPRODUCT($C$7:$C$146,Y7:Y146)</f>
        <v/>
      </c>
      <c r="Z148" s="24">
        <f>SUMPRODUCT($C$7:$C$146,Z7:Z146)</f>
        <v/>
      </c>
      <c r="AA148" s="24">
        <f>SUMPRODUCT($C$7:$C$146,AA7:AA146)</f>
        <v/>
      </c>
      <c r="AB148" s="24">
        <f>SUMPRODUCT($C$7:$C$146,AB7:AB146)</f>
        <v/>
      </c>
      <c r="AC148" s="24">
        <f>SUMPRODUCT($C$7:$C$146,AC7:AC146)</f>
        <v/>
      </c>
    </row>
    <row r="149">
      <c r="B149" s="23" t="inlineStr">
        <is>
          <t>% AVANCE EJECUTADO ACUMULADO</t>
        </is>
      </c>
      <c r="E149" s="24">
        <f>E148</f>
        <v/>
      </c>
      <c r="F149" s="24">
        <f>E149+F148</f>
        <v/>
      </c>
      <c r="G149" s="24">
        <f>F149+G148</f>
        <v/>
      </c>
      <c r="H149" s="24">
        <f>G149+H148</f>
        <v/>
      </c>
      <c r="I149" s="24">
        <f>H149+I148</f>
        <v/>
      </c>
      <c r="J149" s="24">
        <f>I149+J148</f>
        <v/>
      </c>
      <c r="K149" s="24">
        <f>J149+K148</f>
        <v/>
      </c>
      <c r="L149" s="24">
        <f>K149+L148</f>
        <v/>
      </c>
      <c r="M149" s="24">
        <f>L149+M148</f>
        <v/>
      </c>
      <c r="N149" s="24">
        <f>M149+N148</f>
        <v/>
      </c>
      <c r="O149" s="24">
        <f>N149+O148</f>
        <v/>
      </c>
      <c r="P149" s="24">
        <f>O149+P148</f>
        <v/>
      </c>
      <c r="Q149" s="24">
        <f>P149+Q148</f>
        <v/>
      </c>
      <c r="R149" s="24">
        <f>Q149+R148</f>
        <v/>
      </c>
      <c r="S149" s="24">
        <f>R149+S148</f>
        <v/>
      </c>
      <c r="T149" s="24">
        <f>S149+T148</f>
        <v/>
      </c>
      <c r="U149" s="24">
        <f>T149+U148</f>
        <v/>
      </c>
      <c r="V149" s="24">
        <f>U149+V148</f>
        <v/>
      </c>
      <c r="W149" s="24">
        <f>V149+W148</f>
        <v/>
      </c>
      <c r="X149" s="24">
        <f>W149+X148</f>
        <v/>
      </c>
      <c r="Y149" s="24">
        <f>X149+Y148</f>
        <v/>
      </c>
      <c r="Z149" s="24">
        <f>Y149+Z148</f>
        <v/>
      </c>
      <c r="AA149" s="24">
        <f>Z149+AA148</f>
        <v/>
      </c>
      <c r="AB149" s="24">
        <f>AA149+AB148</f>
        <v/>
      </c>
      <c r="AC149" s="24">
        <f>AB149+AC148</f>
        <v/>
      </c>
      <c r="AD149" s="25">
        <f>MAX(E149:AC149)</f>
        <v/>
      </c>
    </row>
    <row r="150">
      <c r="B150" s="23" t="inlineStr">
        <is>
          <t>% AVANCE PROGRAMADO SEMANAL (LÍNEA BASE)</t>
        </is>
      </c>
      <c r="E150" s="24" t="n">
        <v>0.0024070622934496</v>
      </c>
      <c r="F150" s="24" t="n">
        <v>0.00288847443244886</v>
      </c>
      <c r="G150" s="24" t="n">
        <v>0.01287576261809254</v>
      </c>
      <c r="H150" s="24" t="n">
        <v>0.01434932668865004</v>
      </c>
      <c r="I150" s="24" t="n">
        <v>0.01615690931039519</v>
      </c>
      <c r="J150" s="24" t="n">
        <v>0.02740335432174093</v>
      </c>
      <c r="K150" s="24" t="n">
        <v>0.07151344793125795</v>
      </c>
      <c r="L150" s="24" t="n">
        <v>0.02694305399784365</v>
      </c>
      <c r="M150" s="24" t="n">
        <v>0.01604536594187696</v>
      </c>
      <c r="N150" s="24" t="n">
        <v>0.01719377535602788</v>
      </c>
      <c r="O150" s="24" t="n">
        <v>0.02993398423002183</v>
      </c>
      <c r="P150" s="24" t="n">
        <v>0.07819684253361391</v>
      </c>
      <c r="Q150" s="24" t="n">
        <v>0.06620130788528446</v>
      </c>
      <c r="R150" s="24" t="n">
        <v>0.08150104106990419</v>
      </c>
      <c r="S150" s="24" t="n">
        <v>0.06296400476435951</v>
      </c>
      <c r="T150" s="24" t="n">
        <v>0.05522807184455759</v>
      </c>
      <c r="U150" s="24" t="n">
        <v>0.07209540160952506</v>
      </c>
      <c r="V150" s="24" t="n">
        <v>0.05718566578165239</v>
      </c>
      <c r="W150" s="24" t="n">
        <v>0.03234258409783331</v>
      </c>
      <c r="X150" s="24" t="n">
        <v>0.04650424823806285</v>
      </c>
      <c r="Y150" s="24" t="n">
        <v>0.1355540490349511</v>
      </c>
      <c r="Z150" s="24" t="n">
        <v>0.0685970477344994</v>
      </c>
      <c r="AA150" s="24" t="n">
        <v>0.002772516196520008</v>
      </c>
      <c r="AB150" s="24" t="n">
        <v>0.00224764447596113</v>
      </c>
      <c r="AC150" s="24" t="n">
        <v>0.0008990577903844526</v>
      </c>
    </row>
    <row r="151">
      <c r="B151" s="23" t="inlineStr">
        <is>
          <t>% AVANCE PROGRAMADO ACUMULADO (LÍNEA BASE)</t>
        </is>
      </c>
      <c r="E151" s="24" t="n">
        <v>0.0024070622934496</v>
      </c>
      <c r="F151" s="24" t="n">
        <v>0.00529553672589846</v>
      </c>
      <c r="G151" s="24" t="n">
        <v>0.018171299343991</v>
      </c>
      <c r="H151" s="24" t="n">
        <v>0.03252062603264104</v>
      </c>
      <c r="I151" s="24" t="n">
        <v>0.04867753534303623</v>
      </c>
      <c r="J151" s="24" t="n">
        <v>0.07608088966477716</v>
      </c>
      <c r="K151" s="24" t="n">
        <v>0.1475943375960351</v>
      </c>
      <c r="L151" s="24" t="n">
        <v>0.1745373915938788</v>
      </c>
      <c r="M151" s="24" t="n">
        <v>0.1905827575357557</v>
      </c>
      <c r="N151" s="24" t="n">
        <v>0.2077765328917836</v>
      </c>
      <c r="O151" s="24" t="n">
        <v>0.2377105171218054</v>
      </c>
      <c r="P151" s="24" t="n">
        <v>0.3159073596554193</v>
      </c>
      <c r="Q151" s="24" t="n">
        <v>0.3821086675407038</v>
      </c>
      <c r="R151" s="24" t="n">
        <v>0.463609708610608</v>
      </c>
      <c r="S151" s="24" t="n">
        <v>0.5265737133749675</v>
      </c>
      <c r="T151" s="24" t="n">
        <v>0.5818017852195251</v>
      </c>
      <c r="U151" s="24" t="n">
        <v>0.6538971868290502</v>
      </c>
      <c r="V151" s="24" t="n">
        <v>0.7110828526107026</v>
      </c>
      <c r="W151" s="24" t="n">
        <v>0.7434254367085359</v>
      </c>
      <c r="X151" s="24" t="n">
        <v>0.7899296849465988</v>
      </c>
      <c r="Y151" s="24" t="n">
        <v>0.9254837339815498</v>
      </c>
      <c r="Z151" s="24" t="n">
        <v>0.9940807817160492</v>
      </c>
      <c r="AA151" s="24" t="n">
        <v>0.9968532979125692</v>
      </c>
      <c r="AB151" s="24" t="n">
        <v>0.9991009423885303</v>
      </c>
      <c r="AC151" s="24" t="n">
        <v>1.000000000178915</v>
      </c>
    </row>
  </sheetData>
  <mergeCells count="4">
    <mergeCell ref="E3:N3"/>
    <mergeCell ref="O4:P4"/>
    <mergeCell ref="O3:P3"/>
    <mergeCell ref="E4:N4"/>
  </mergeCells>
  <conditionalFormatting sqref="E7:AC146">
    <cfRule type="expression" priority="1" dxfId="0">
      <formula>UPPER(TRIM(E7))="P"</formula>
    </cfRule>
    <cfRule type="expression" priority="2" dxfId="1">
      <formula>AND(ISNUMBER(E7),E7&gt;0)</formula>
    </cfRule>
  </conditionalFormatting>
  <conditionalFormatting sqref="AD7:AD146">
    <cfRule type="expression" priority="3" dxfId="2">
      <formula>AD7&gt;1.0001</formula>
    </cfRule>
  </conditionalFormatting>
  <dataValidations count="1">
    <dataValidation sqref="E7:AC146" showDropDown="0" showInputMessage="0" showErrorMessage="1" allowBlank="1" errorTitle="Valor no válido" error="Escriba el avance de la semana (por ejemplo 25%) o la letra P para programado." type="custom">
      <formula1>OR(E7="",UPPER(TRIM(E7))="P",AND(ISNUMBER(E7),E7&gt;=0,E7&lt;=1))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NMH Engineering S.A.S.</dc:creator>
  <dc:title xmlns:dc="http://purl.org/dc/elements/1.1/">Cronograma ejecutado</dc:title>
  <dcterms:created xmlns:dcterms="http://purl.org/dc/terms/" xmlns:xsi="http://www.w3.org/2001/XMLSchema-instance" xsi:type="dcterms:W3CDTF">2026-10-22T15:26:45Z</dcterms:created>
  <dcterms:modified xmlns:dcterms="http://purl.org/dc/terms/" xmlns:xsi="http://www.w3.org/2001/XMLSchema-instance" xsi:type="dcterms:W3CDTF">2026-10-22T15:26:45Z</dcterms:modified>
</cp:coreProperties>
</file>