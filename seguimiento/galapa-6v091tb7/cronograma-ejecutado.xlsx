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  <xf numFmtId="165" fontId="6" fillId="0" borderId="0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1"/>
  <sheetViews>
    <sheetView zoomScale="9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GALAPA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26" t="n">
        <v>46216</v>
      </c>
      <c r="F5" s="26" t="n">
        <v>46223</v>
      </c>
      <c r="G5" s="26" t="n">
        <v>46230</v>
      </c>
      <c r="H5" s="26" t="n">
        <v>46237</v>
      </c>
      <c r="I5" s="26" t="n">
        <v>46244</v>
      </c>
      <c r="J5" s="26" t="n">
        <v>46251</v>
      </c>
      <c r="K5" s="26" t="n">
        <v>46258</v>
      </c>
      <c r="L5" s="26" t="n">
        <v>46265</v>
      </c>
      <c r="M5" s="26" t="n">
        <v>46272</v>
      </c>
      <c r="N5" s="26" t="n">
        <v>46279</v>
      </c>
      <c r="O5" s="26" t="n">
        <v>46286</v>
      </c>
      <c r="P5" s="26" t="n">
        <v>46293</v>
      </c>
      <c r="Q5" s="26" t="n">
        <v>46300</v>
      </c>
      <c r="R5" s="26" t="n">
        <v>46307</v>
      </c>
      <c r="S5" s="26" t="n">
        <v>46314</v>
      </c>
      <c r="T5" s="26" t="n">
        <v>46321</v>
      </c>
      <c r="U5" s="26" t="n">
        <v>46328</v>
      </c>
      <c r="V5" s="26" t="n">
        <v>46335</v>
      </c>
      <c r="W5" s="26" t="n">
        <v>46342</v>
      </c>
      <c r="X5" s="26" t="n">
        <v>46349</v>
      </c>
      <c r="Y5" s="26" t="n">
        <v>46356</v>
      </c>
      <c r="Z5" s="26" t="n">
        <v>46363</v>
      </c>
      <c r="AA5" s="26" t="n">
        <v>46370</v>
      </c>
      <c r="AB5" s="26" t="n">
        <v>46377</v>
      </c>
      <c r="AC5" s="26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ETAPA PRELIMINAR: LOCALIZACIÓN Y REPLANTEO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LOCALIZACIÓN, TRAZADO Y REPLANTEO</t>
        </is>
      </c>
      <c r="C8" s="19" t="n">
        <v>0.005776948864897721</v>
      </c>
      <c r="D8" s="20" t="n">
        <v>12</v>
      </c>
      <c r="E8" s="21" t="inlineStr">
        <is>
          <t>P</t>
        </is>
      </c>
      <c r="F8" s="21" t="inlineStr">
        <is>
          <t>P</t>
        </is>
      </c>
      <c r="G8" s="21" t="inlineStr">
        <is>
          <t>P</t>
        </is>
      </c>
      <c r="H8" s="21" t="n">
        <v>0.5</v>
      </c>
      <c r="I8" s="21" t="n">
        <v>0.5</v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ADECUACIÓN DEL TERRENO: 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A MANO EN MATERIAL SIN CLASIFICAR</t>
        </is>
      </c>
      <c r="C10" s="19" t="n">
        <v>0.005902235989382405</v>
      </c>
      <c r="D10" s="20" t="n">
        <v>20</v>
      </c>
      <c r="E10" s="21" t="n"/>
      <c r="F10" s="21" t="n"/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0.4</v>
      </c>
      <c r="K10" s="21" t="n">
        <v>0.35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SUMINISTRO E INSTALACIÓN DE SUB-BASE GRANULAR DE MEJORAMIENTO PARA BASE EN PISTA DE TROTE CON ASFALTO FRÍO</t>
        </is>
      </c>
      <c r="C11" s="19" t="n">
        <v>0.004065316542697133</v>
      </c>
      <c r="D11" s="20" t="n">
        <v>6</v>
      </c>
      <c r="E11" s="21" t="n"/>
      <c r="F11" s="21" t="n"/>
      <c r="G11" s="21" t="inlineStr">
        <is>
          <t>P</t>
        </is>
      </c>
      <c r="H11" s="21" t="inlineStr">
        <is>
          <t>P</t>
        </is>
      </c>
      <c r="I11" s="21" t="n">
        <v>0.5</v>
      </c>
      <c r="J11" s="21" t="n">
        <v>0.5</v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Y COMPACTACIÓN CON MATERIAL SELECCIONADO PROVENIENTE DE LA EXCAVACIÓN DE CIMENTACIÓN</t>
        </is>
      </c>
      <c r="C12" s="19" t="n">
        <v>0.004062433737372328</v>
      </c>
      <c r="D12" s="20" t="n">
        <v>13</v>
      </c>
      <c r="E12" s="21" t="n"/>
      <c r="F12" s="21" t="n"/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0.7</v>
      </c>
      <c r="O12" s="21" t="n">
        <v>0.3</v>
      </c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INSTALACIÓN DE BASE GRANULAR DE MEJORAMIENTO PARA BASE EN PISTA DE TROTE CON ASFALTO FRÍO</t>
        </is>
      </c>
      <c r="C13" s="19" t="n">
        <v>0.004689775135253645</v>
      </c>
      <c r="D13" s="20" t="n">
        <v>7</v>
      </c>
      <c r="E13" s="21" t="n"/>
      <c r="F13" s="21" t="n"/>
      <c r="G13" s="21" t="inlineStr">
        <is>
          <t>P</t>
        </is>
      </c>
      <c r="H13" s="21" t="inlineStr">
        <is>
          <t>P</t>
        </is>
      </c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0.01675976524501308</v>
      </c>
      <c r="D14" s="20" t="n">
        <v>32</v>
      </c>
      <c r="E14" s="21" t="n"/>
      <c r="F14" s="21" t="n"/>
      <c r="G14" s="21" t="inlineStr">
        <is>
          <t>P</t>
        </is>
      </c>
      <c r="H14" s="21" t="inlineStr">
        <is>
          <t>P</t>
        </is>
      </c>
      <c r="I14" s="21" t="n">
        <v>0.5</v>
      </c>
      <c r="J14" s="21" t="n">
        <v>0.5</v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ESTRUCTURA DE CONCRETO Y PAVIMENTOS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FUNDIDO EN SITIO PARA SOLADOS</t>
        </is>
      </c>
      <c r="C16" s="19" t="n">
        <v>0.004724037223531027</v>
      </c>
      <c r="D16" s="20" t="n">
        <v>10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CONCRETO DE 3.000 PSI FUNDIDO EN SITIO PARA ZAPATAS AISLADAS</t>
        </is>
      </c>
      <c r="C17" s="19" t="n">
        <v>0.02364130236996163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0.41</v>
      </c>
      <c r="M17" s="21" t="n">
        <v>0.59</v>
      </c>
      <c r="N17" s="21" t="inlineStr">
        <is>
          <t>P</t>
        </is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CONCRETO DE 3.000 PSI FUNDIDO EN SITIO PARA VIGAS DE AMARRE DE CIMENTACIÓN</t>
        </is>
      </c>
      <c r="C18" s="19" t="n">
        <v>0.01453562742323641</v>
      </c>
      <c r="D18" s="20" t="n">
        <v>9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1</v>
      </c>
      <c r="O18" s="21" t="inlineStr">
        <is>
          <t>P</t>
        </is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CONCRETO DE 3.000 PSI FUNDIDO EN SITIO PARA COLUMNAS</t>
        </is>
      </c>
      <c r="C19" s="19" t="n">
        <v>0.01751473925835689</v>
      </c>
      <c r="D19" s="20" t="n">
        <v>11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0.61383</v>
      </c>
      <c r="Q19" s="21" t="inlineStr">
        <is>
          <t>P</t>
        </is>
      </c>
      <c r="R19" s="21" t="n"/>
      <c r="S19" s="21" t="n"/>
      <c r="T19" s="21" t="n">
        <v>0.06</v>
      </c>
      <c r="U19" s="21" t="inlineStr">
        <is>
          <t>P</t>
        </is>
      </c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CONCRETO DE 3.000 PSI FUNDIDO EN SITIO PARA VIGAS AÉREAS</t>
        </is>
      </c>
      <c r="C20" s="19" t="n">
        <v>0.02280224231743154</v>
      </c>
      <c r="D20" s="20" t="n">
        <v>11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inlineStr">
        <is>
          <t>P</t>
        </is>
      </c>
      <c r="R20" s="21" t="n">
        <v>0.6</v>
      </c>
      <c r="S20" s="21" t="inlineStr">
        <is>
          <t>P</t>
        </is>
      </c>
      <c r="T20" s="21" t="n"/>
      <c r="U20" s="21" t="inlineStr">
        <is>
          <t>P</t>
        </is>
      </c>
      <c r="V20" s="21" t="inlineStr">
        <is>
          <t>P</t>
        </is>
      </c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FIGURADO Y ARMADO DE ACERO DE REFUERZO CORRUGADO PDR-60 FY=420 MPA EN ZAPATAS</t>
        </is>
      </c>
      <c r="C21" s="19" t="n">
        <v>0.006825238677847414</v>
      </c>
      <c r="D21" s="20" t="n">
        <v>13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inlineStr">
        <is>
          <t>P</t>
        </is>
      </c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FIGURADO Y ARMADO DE ACERO DE REFUERZO CORRUGADO PDR-60 FY=420 MPA EN VIGAS DE CIMENTACIÓN</t>
        </is>
      </c>
      <c r="C22" s="19" t="n">
        <v>0.01625626700928477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0.52</v>
      </c>
      <c r="N22" s="21" t="n">
        <v>0.48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FIGURADO Y ARMADO DE ACERO DE REFUERZO CORRUGADO PDR-60 FY=420 MPA EN COLUMNAS</t>
        </is>
      </c>
      <c r="C23" s="19" t="n">
        <v>0.01620029078709653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FIGURADO Y ARMADO DE ACERO DE REFUERZO CORRUGADO PDR-60 FY=420 MPA EN VIGAS AÉREAS</t>
        </is>
      </c>
      <c r="C24" s="19" t="n">
        <v>0.01237460553271487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0.86</v>
      </c>
      <c r="Q24" s="21" t="n">
        <v>0.14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LOSA EN CONCRETO E=0.075 M PARA PLACA DE TANQUE, CON MALLA ELECTROSOLDADA XX-295</t>
        </is>
      </c>
      <c r="C25" s="19" t="n">
        <v>0.0001313440432574957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inlineStr">
        <is>
          <t>P</t>
        </is>
      </c>
      <c r="T25" s="21" t="n"/>
      <c r="U25" s="21" t="n"/>
      <c r="V25" s="21" t="n"/>
      <c r="W25" s="21" t="inlineStr">
        <is>
          <t>P</t>
        </is>
      </c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CONCRETO DE 4.000 PSI FUNDIDO EN SITIO PARA PLACA DE CONTRAPISO E=0.15 M, CON MALLA ELECTROSOLDADA XX-295</t>
        </is>
      </c>
      <c r="C26" s="19" t="n">
        <v>0.04321248258996001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inlineStr">
        <is>
          <t>P</t>
        </is>
      </c>
      <c r="Q26" s="21" t="inlineStr">
        <is>
          <t>P</t>
        </is>
      </c>
      <c r="R26" s="21" t="inlineStr">
        <is>
          <t>P</t>
        </is>
      </c>
      <c r="S26" s="21" t="n"/>
      <c r="T26" s="21" t="n"/>
      <c r="U26" s="21" t="inlineStr">
        <is>
          <t>P</t>
        </is>
      </c>
      <c r="V26" s="21" t="inlineStr">
        <is>
          <t>P</t>
        </is>
      </c>
      <c r="W26" s="21" t="inlineStr">
        <is>
          <t>P</t>
        </is>
      </c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EN CONCRETO PARA ADOQUÍN (ACERO INCLUIDO)</t>
        </is>
      </c>
      <c r="C27" s="19" t="n">
        <v>0.01186587340261387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>
        <v>0.510204</v>
      </c>
      <c r="Q27" s="21" t="n"/>
      <c r="R27" s="21" t="n"/>
      <c r="S27" s="21" t="inlineStr">
        <is>
          <t>P</t>
        </is>
      </c>
      <c r="T27" s="21" t="inlineStr">
        <is>
          <t>P</t>
        </is>
      </c>
      <c r="U27" s="21" t="inlineStr">
        <is>
          <t>P</t>
        </is>
      </c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EN CONCRETO PARA PAVIMENTO ASFÁLTICO (ACERO INCLUIDO)</t>
        </is>
      </c>
      <c r="C28" s="19" t="n">
        <v>0.02002527415931426</v>
      </c>
      <c r="D28" s="20" t="n">
        <v>9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>
        <v>0.45</v>
      </c>
      <c r="S28" s="21" t="n">
        <v>0.26</v>
      </c>
      <c r="T28" s="21" t="n">
        <v>0.28</v>
      </c>
      <c r="U28" s="21" t="inlineStr">
        <is>
          <t>P</t>
        </is>
      </c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PISO EN ADOQUÍN PEATONAL, COMPRENDE CAMA DE ARENA, ARENA DE SELLO, COLOCACIÓN, CORTES, COMPACTACIÓN, SELLADO Y LIMPIEZA FINAL</t>
        </is>
      </c>
      <c r="C29" s="19" t="n">
        <v>0.02060096455064717</v>
      </c>
      <c r="D29" s="20" t="n">
        <v>10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inlineStr">
        <is>
          <t>P</t>
        </is>
      </c>
      <c r="U29" s="21" t="inlineStr">
        <is>
          <t>P</t>
        </is>
      </c>
      <c r="V29" s="21" t="inlineStr">
        <is>
          <t>P</t>
        </is>
      </c>
      <c r="W29" s="21" t="inlineStr">
        <is>
          <t>P</t>
        </is>
      </c>
      <c r="X29" s="21" t="n"/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PAVIMENTO EN ASFALTO FRÍO TIPO MDF-19</t>
        </is>
      </c>
      <c r="C30" s="19" t="n">
        <v>0.02812306705078456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inlineStr">
        <is>
          <t>P</t>
        </is>
      </c>
      <c r="X30" s="21" t="inlineStr">
        <is>
          <t>P</t>
        </is>
      </c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BALDOSA PODOTÁCTIL (GUÍA TÁCTIL)</t>
        </is>
      </c>
      <c r="C31" s="19" t="n">
        <v>0.002954143485170105</v>
      </c>
      <c r="D31" s="20" t="n">
        <v>5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inlineStr">
        <is>
          <t>P</t>
        </is>
      </c>
      <c r="T31" s="21" t="n"/>
      <c r="U31" s="21" t="n"/>
      <c r="V31" s="21" t="n"/>
      <c r="W31" s="21" t="n"/>
      <c r="X31" s="21" t="n"/>
      <c r="Y31" s="21" t="inlineStr">
        <is>
          <t>P</t>
        </is>
      </c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FUNDIDO ASTM A536 65-45-12, PINTADO Y ANCLADO EN CONCRETO</t>
        </is>
      </c>
      <c r="C32" s="19" t="n">
        <v>0.0008881658598466949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inlineStr">
        <is>
          <t>P</t>
        </is>
      </c>
      <c r="W32" s="21" t="n"/>
      <c r="X32" s="21" t="n"/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MAMPOSTERÍA, DINTELES, ALJAFIAS Y PAÑETES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E=12 CM, CON ACERO DE DOVELAS</t>
        </is>
      </c>
      <c r="C34" s="19" t="n">
        <v>0.04267230254842819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inlineStr">
        <is>
          <t>P</t>
        </is>
      </c>
      <c r="T34" s="21" t="n">
        <v>0.04</v>
      </c>
      <c r="U34" s="21" t="inlineStr">
        <is>
          <t>P</t>
        </is>
      </c>
      <c r="V34" s="21" t="inlineStr">
        <is>
          <t>P</t>
        </is>
      </c>
      <c r="W34" s="21" t="inlineStr">
        <is>
          <t>P</t>
        </is>
      </c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DE NIVELACIÓN Y ALISTADO DE PISO 1:4, E=4 CM</t>
        </is>
      </c>
      <c r="C35" s="19" t="n">
        <v>0.005923521782136347</v>
      </c>
      <c r="D35" s="20" t="n">
        <v>8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inlineStr">
        <is>
          <t>P</t>
        </is>
      </c>
      <c r="T35" s="21" t="inlineStr">
        <is>
          <t>P</t>
        </is>
      </c>
      <c r="U35" s="21" t="inlineStr">
        <is>
          <t>P</t>
        </is>
      </c>
      <c r="V35" s="21" t="inlineStr">
        <is>
          <t>P</t>
        </is>
      </c>
      <c r="W35" s="21" t="inlineStr">
        <is>
          <t>P</t>
        </is>
      </c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PAÑETE LISO EN MORTERO 1:4 SOBRE MURO, CON FILOS Y DILATACIONES</t>
        </is>
      </c>
      <c r="C36" s="19" t="n">
        <v>0.002955936535429527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inlineStr">
        <is>
          <t>P</t>
        </is>
      </c>
      <c r="T36" s="21" t="inlineStr">
        <is>
          <t>P</t>
        </is>
      </c>
      <c r="U36" s="21" t="n"/>
      <c r="V36" s="21" t="n"/>
      <c r="W36" s="21" t="inlineStr">
        <is>
          <t>P</t>
        </is>
      </c>
      <c r="X36" s="21" t="inlineStr">
        <is>
          <t>P</t>
        </is>
      </c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PAÑETE LISO IMPERMEABILIZADO EN MORTERO 1:4 SOBRE MURO, CON FILOS Y DILATACIONES</t>
        </is>
      </c>
      <c r="C37" s="19" t="n">
        <v>0.001381170285455699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inlineStr">
        <is>
          <t>P</t>
        </is>
      </c>
      <c r="T37" s="21" t="inlineStr">
        <is>
          <t>P</t>
        </is>
      </c>
      <c r="U37" s="21" t="n"/>
      <c r="V37" s="21" t="n"/>
      <c r="W37" s="21" t="inlineStr">
        <is>
          <t>P</t>
        </is>
      </c>
      <c r="X37" s="21" t="inlineStr">
        <is>
          <t>P</t>
        </is>
      </c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3.000 PSI SOBRE MURO</t>
        </is>
      </c>
      <c r="C38" s="19" t="n">
        <v>0.003080976387368358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inlineStr">
        <is>
          <t>P</t>
        </is>
      </c>
      <c r="T38" s="21" t="inlineStr">
        <is>
          <t>P</t>
        </is>
      </c>
      <c r="U38" s="21" t="n"/>
      <c r="V38" s="21" t="n"/>
      <c r="W38" s="21" t="inlineStr">
        <is>
          <t>P</t>
        </is>
      </c>
      <c r="X38" s="21" t="inlineStr">
        <is>
          <t>P</t>
        </is>
      </c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SOBRE MURO DE BORDE, CON CONFORMACIÓN DE CORTAGOTERO</t>
        </is>
      </c>
      <c r="C39" s="19" t="n">
        <v>0.0004656494755428664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inlineStr">
        <is>
          <t>P</t>
        </is>
      </c>
      <c r="T39" s="21" t="n"/>
      <c r="U39" s="21" t="n"/>
      <c r="V39" s="21" t="n"/>
      <c r="W39" s="21" t="inlineStr">
        <is>
          <t>P</t>
        </is>
      </c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LADRILLO CON ACABADO EN GRANITO PULIDO, LONGITUD APROX. 120 CM (COMPRENDE LLAVE TERMINAL DE 1/2", PAÑETE, DESTRONQUE, PULIDA Y BRILLADA)</t>
        </is>
      </c>
      <c r="C40" s="19" t="n">
        <v>0.0002223978110768094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inlineStr">
        <is>
          <t>P</t>
        </is>
      </c>
      <c r="T40" s="21" t="n"/>
      <c r="U40" s="21" t="n"/>
      <c r="V40" s="21" t="n"/>
      <c r="W40" s="21" t="inlineStr">
        <is>
          <t>P</t>
        </is>
      </c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4.000 PSI</t>
        </is>
      </c>
      <c r="C42" s="19" t="n">
        <v>0.02817210228381097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EN CERÁMICA ANTIDESLIZANTE FORMATO 30 X 30 COLOR BLANCO PARA BAÑOS Y ÁREAS HÚMEDAS</t>
        </is>
      </c>
      <c r="C43" s="19" t="n">
        <v>0.002061390481776382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3.000 PSI</t>
        </is>
      </c>
      <c r="C44" s="19" t="n">
        <v>0.003994860012735314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ENCHAPE EN CERÁMICA FORMATO 30 X 30 SOBRE MURO, ALTURA 2 M</t>
        </is>
      </c>
      <c r="C45" s="19" t="n">
        <v>0.005518853589493106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EN MUROS</t>
        </is>
      </c>
      <c r="C46" s="19" t="n">
        <v>0.002535580743640386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PINTURA BLANCA PINTUCO SOBRE MUROS: 2 MANOS TIPO 2 Y 2 MANOS TIPO 1, CON FILOS Y DILATACIONES</t>
        </is>
      </c>
      <c r="C47" s="19" t="n">
        <v>0.003872396786435407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PINTURA EPÓXICA EN RESINA TERMOPLÁSTICA ACRÍLICA</t>
        </is>
      </c>
      <c r="C48" s="19" t="n">
        <v>0.02453112909612094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</t>
        </is>
      </c>
      <c r="C49" s="19" t="n">
        <v>0.0008314935079941102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ESTRUCTURA DE CUBIERTA Y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 E INSTALACIÓN DE ESTRUCTURA METÁLICA DE CUBIERTA TIPO MALOKA, EN ACERO ASTM-500 GR C (PERFIL TUBULAR ESTRUCTURAL RECTANGULAR), CON UNIONES SOLDADAS SMAW ELECTRODO E7018 Y CONEXIONES EMPERNADAS A325, CONFORME A PLANOS EST-010. COMPRENDE PLATINAS/PLACAS DE CONEXIÓN, CONSUMIBLES DE SOLDADURA, PINTURA ANTICORROSIVA, CORTES, DESPUNTES Y ELEMENTOS AUXILIARES DE MONTAJE. UNIDAD DE MEDIDA: KG DE ACERO</t>
        </is>
      </c>
      <c r="C51" s="19" t="n">
        <v>0.1129790035933086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0.24</v>
      </c>
      <c r="R51" s="21" t="inlineStr">
        <is>
          <t>P</t>
        </is>
      </c>
      <c r="S51" s="21" t="n"/>
      <c r="T51" s="21" t="n"/>
      <c r="U51" s="21" t="inlineStr">
        <is>
          <t>P</t>
        </is>
      </c>
      <c r="V51" s="21" t="inlineStr">
        <is>
          <t>P</t>
        </is>
      </c>
      <c r="W51" s="21" t="inlineStr">
        <is>
          <t>P</t>
        </is>
      </c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 E INSTALACIÓN DE CORREAS METÁLICAS EN CAJÓN DOBLE (2 PERFILES C-125 CAL 14, T=2,0 MM) CON SOLDADURA INTERMITENTE 50@250. COMPRENDE PLATINAS DE UNIÓN A VIGA CINTA (140×260×6,5 Y 140×200×6,5), LÁMINA CONECTORA 50×220×2,0, PERNOS 3/8", CONSUMIBLES DE SOLDADURA E7018, PINTURA ANTICORROSIVA, CORTES, DESPUNTES Y MONTAJE. UNIDAD DE MEDIDA: KG DE ACERO</t>
        </is>
      </c>
      <c r="C52" s="19" t="n">
        <v>0.01296944311505054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inlineStr">
        <is>
          <t>P</t>
        </is>
      </c>
      <c r="W52" s="21" t="inlineStr">
        <is>
          <t>P</t>
        </is>
      </c>
      <c r="X52" s="21" t="inlineStr">
        <is>
          <t>P</t>
        </is>
      </c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CON UNIONES SOLDADAS Y PERFILERÍA</t>
        </is>
      </c>
      <c r="C53" s="19" t="n">
        <v>0.03365132200053648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inlineStr">
        <is>
          <t>P</t>
        </is>
      </c>
      <c r="W53" s="21" t="inlineStr">
        <is>
          <t>P</t>
        </is>
      </c>
      <c r="X53" s="21" t="inlineStr">
        <is>
          <t>P</t>
        </is>
      </c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TIPO SÁNDWICH TERMOACÚSTICA E=18 MM</t>
        </is>
      </c>
      <c r="C54" s="19" t="n">
        <v>0.08054863724411122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inlineStr">
        <is>
          <t>P</t>
        </is>
      </c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EN LÁMINA DE POLICARBONATO</t>
        </is>
      </c>
      <c r="C55" s="19" t="n">
        <v>0.00242616341424814</v>
      </c>
      <c r="D55" s="20" t="n">
        <v>3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METALICA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 E INSTALACIÓN DE PUERTA METÁLICA ABATIBLE PT01 (1,20 M × 2,00 M) EN LÁMINA COLD ROLLED CAL. 18, CON MARCO Y REFUERZOS EN PERFILERÍA ESTRUCTURAL. COMPRENDE 3 BISAGRAS SOLDABLES, CERRADURA DE SEGURIDAD, ANCLAJES, PINTURA ANTICORROSIVA Y ESMALTE SINTÉTICO</t>
        </is>
      </c>
      <c r="C57" s="19" t="n">
        <v>0.007399163013200826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inlineStr">
        <is>
          <t>P</t>
        </is>
      </c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 E INSTALACIÓN DE PUERTA METÁLICA ABATIBLE PT02 (0,70 M × 2,00 M) PARA ACCESO A BAÑO/SERVICIO, EN LÁMINA COLD ROLLED CAL. 18, CON MARCO Y REFUERZOS EN PERFILERÍA ESTRUCTURAL. COMPRENDE 3 BISAGRAS SOLDABLES, CERRADURA SENCILLA, ANCLAJES, PINTURA ANTICORROSIVA Y ESMALTE SINTÉTICO</t>
        </is>
      </c>
      <c r="C58" s="19" t="n">
        <v>0.001577165513310159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inlineStr">
        <is>
          <t>P</t>
        </is>
      </c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 E INSTALACIÓN DE PERSIANA FIJA VT01 (1,40 M × 0,60 M) TIPO LOUVER/CELOSÍA CON LAMAS HORIZONTALES EN LÁMINA COLD ROLLED CAL. 18 Y MARCO EN PERFILERÍA ESTRUCTURAL. COMPRENDE ANCLAJES, PINTURA ANTICORROSIVA Y ESMALTE SINTÉTICO</t>
        </is>
      </c>
      <c r="C59" s="19" t="n">
        <v>0.001354099794563594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inlineStr">
        <is>
          <t>P</t>
        </is>
      </c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 E INSTALACIÓN DE VENTANA CORREDIZA VT02 (1,40 M × 1,00 M) DE DOS HOJAS EN LÁMINA COLD ROLLED CAL. 18, CON RIEL Y RODAMIENTOS, VIDRIO CRUDO 4 MM, FELPA/EMPAQUE, ANCLAJES, PINTURA ANTICORROSIVA Y ESMALTE SINTÉTICO</t>
        </is>
      </c>
      <c r="C60" s="19" t="n">
        <v>0.0007783711047099678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inlineStr">
        <is>
          <t>P</t>
        </is>
      </c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 E INSTALACIÓN DE PERSIANA FIJA VT03 TIPO LOUVER/CELOSÍA CON LAMAS HORIZONTALES EN LÁMINA COLD ROLLED CAL. 18 Y MARCO EN PERFILERÍA ESTRUCTURAL, ALTURA 0,40 M Y LONGITUD VARIABLE. COMPRENDE ANCLAJES, PINTURA ANTICORROSIVA Y ESMALTE SINTÉTICO. UNIDAD DE MEDIDA: M² DE FACHADA</t>
        </is>
      </c>
      <c r="C61" s="19" t="n">
        <v>0.001821698788354552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inlineStr">
        <is>
          <t>P</t>
        </is>
      </c>
      <c r="V61" s="21" t="inlineStr">
        <is>
          <t>P</t>
        </is>
      </c>
      <c r="W61" s="21" t="n"/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 E INSTALACIÓN DE PERSIANA FIJA VT04 TIPO LOUVER/CELOSÍA CON LAMAS HORIZONTALES EN LÁMINA COLD ROLLED CAL. 18 Y MARCO EN PERFILERÍA ESTRUCTURAL, ALTURA 1,00 M Y LONGITUD VARIABLE. COMPRENDE ANCLAJES, PINTURA ANTICORROSIVA Y ESMALTE SINTÉTICO. UNIDAD DE MEDIDA: M² DE FACHADA</t>
        </is>
      </c>
      <c r="C62" s="19" t="n">
        <v>0.004148226284515573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inlineStr">
        <is>
          <t>P</t>
        </is>
      </c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COMPONENTE HIDROSANITARIO: INSTALACIONES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EN PVC PRESIÓN Ø1/2", CON ACCESORIOS Y ELEMENTOS DE FIJACIÓN</t>
        </is>
      </c>
      <c r="C64" s="19" t="n">
        <v>7.631181011164905e-05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inlineStr">
        <is>
          <t>P</t>
        </is>
      </c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EN PVC PRESIÓN Ø3/4", CON ACCESORIOS Y ELEMENTOS DE FIJACIÓN</t>
        </is>
      </c>
      <c r="C65" s="19" t="n">
        <v>0.0013832851205039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>
        <v>0.04</v>
      </c>
      <c r="U65" s="21" t="inlineStr">
        <is>
          <t>P</t>
        </is>
      </c>
      <c r="V65" s="21" t="inlineStr">
        <is>
          <t>P</t>
        </is>
      </c>
      <c r="W65" s="21" t="n"/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EN PVC PRESIÓN Ø1", CON ACCESORIOS Y ELEMENTOS DE FIJACIÓN</t>
        </is>
      </c>
      <c r="C66" s="19" t="n">
        <v>0.001588161512782367</v>
      </c>
      <c r="D66" s="20" t="n">
        <v>6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>
        <v>0.23</v>
      </c>
      <c r="U66" s="21" t="inlineStr">
        <is>
          <t>P</t>
        </is>
      </c>
      <c r="V66" s="21" t="inlineStr">
        <is>
          <t>P</t>
        </is>
      </c>
      <c r="W66" s="21" t="n"/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SUMINISTRO E INSTALACIÓN DE PUNTO HIDRÁULICO DE AGUA FRÍA EN PVC PRESIÓN 1/2"</t>
        </is>
      </c>
      <c r="C67" s="19" t="n">
        <v>0.0005750723643977965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inlineStr">
        <is>
          <t>P</t>
        </is>
      </c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LLAVE DE REGISTRO DE BOLA EN PVC PRESIÓN 3/4"</t>
        </is>
      </c>
      <c r="C68" s="19" t="n">
        <v>0.0007512069523145779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inlineStr">
        <is>
          <t>P</t>
        </is>
      </c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DE CORTINA Ø1"</t>
        </is>
      </c>
      <c r="C69" s="19" t="n">
        <v>0.0004478734024676615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inlineStr">
        <is>
          <t>P</t>
        </is>
      </c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1"</t>
        </is>
      </c>
      <c r="C70" s="19" t="n">
        <v>0.0001593735800700866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inlineStr">
        <is>
          <t>P</t>
        </is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1" CON BOLA EN COBRE</t>
        </is>
      </c>
      <c r="C71" s="19" t="n">
        <v>0.0001256091100318374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inlineStr">
        <is>
          <t>P</t>
        </is>
      </c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CAJILLA PARA MEDIDOR DE ACUEDUCTO</t>
        </is>
      </c>
      <c r="C72" s="19" t="n">
        <v>0.0001545986193420283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inlineStr">
        <is>
          <t>P</t>
        </is>
      </c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2000 L (CON ACCESORIOS DE ENTRADA, SALIDA Y FLOTADOR)</t>
        </is>
      </c>
      <c r="C73" s="19" t="n">
        <v>0.0007672869259824004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inlineStr">
        <is>
          <t>P</t>
        </is>
      </c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SUMINISTRO E INSTALACIÓN DE ACOMETIDA HIDRÁULICA PRINCIPAL, CON TAPA DE REGISTRO PLÁSTICA CORRIENTE 15 X 15 CM</t>
        </is>
      </c>
      <c r="C74" s="19" t="n">
        <v>0.0002529277548392118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inlineStr">
        <is>
          <t>P</t>
        </is>
      </c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</t>
        </is>
      </c>
      <c r="C75" s="19" t="n">
        <v>0.0002404622040640222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inlineStr">
        <is>
          <t>P</t>
        </is>
      </c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COMPONENTE HIDROSANITARIO: INSTALACIONES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EN PVC 2", CON ACCESORIOS Y ELEMENTOS DE FIJACIÓN</t>
        </is>
      </c>
      <c r="C77" s="19" t="n">
        <v>0.001797573500034413</v>
      </c>
      <c r="D77" s="20" t="n">
        <v>6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>
        <v>0.2</v>
      </c>
      <c r="U77" s="21" t="inlineStr">
        <is>
          <t>P</t>
        </is>
      </c>
      <c r="V77" s="21" t="inlineStr">
        <is>
          <t>P</t>
        </is>
      </c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EN PVC 4", CON ACCESORIOS Y ELEMENTOS DE FIJACIÓN</t>
        </is>
      </c>
      <c r="C78" s="19" t="n">
        <v>0.0008765766965919364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>
        <v>0.63</v>
      </c>
      <c r="S78" s="21" t="n">
        <v>0.08</v>
      </c>
      <c r="T78" s="21" t="n">
        <v>0.29</v>
      </c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EN PVC NOVAFORT CORRUGADO 6", CON ACCESORIOS Y ELEMENTOS DE FIJACIÓN</t>
        </is>
      </c>
      <c r="C79" s="19" t="n">
        <v>0.002209361356792974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>
        <v>0.21</v>
      </c>
      <c r="T79" s="21" t="n">
        <v>0.32</v>
      </c>
      <c r="U79" s="21" t="inlineStr">
        <is>
          <t>P</t>
        </is>
      </c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2", CON ACCESORIOS Y ELEMENTOS DE FIJACIÓN</t>
        </is>
      </c>
      <c r="C80" s="19" t="n">
        <v>0.0009479100078694605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>
        <v>0.61</v>
      </c>
      <c r="T80" s="21" t="n">
        <v>0.32</v>
      </c>
      <c r="U80" s="21" t="inlineStr">
        <is>
          <t>P</t>
        </is>
      </c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SUMINISTRO E INSTALACIÓN DE PUNTO SANITARIO EN PVC Ø2"</t>
        </is>
      </c>
      <c r="C81" s="19" t="n">
        <v>0.0008125038891510766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>
        <v>0.47</v>
      </c>
      <c r="T81" s="21" t="n">
        <v>0.06</v>
      </c>
      <c r="U81" s="21" t="inlineStr">
        <is>
          <t>P</t>
        </is>
      </c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SUMINISTRO E INSTALACIÓN DE PUNTO SANITARIO EN PVC Ø4"</t>
        </is>
      </c>
      <c r="C82" s="19" t="n">
        <v>0.0005513967748370392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>
        <v>0.34</v>
      </c>
      <c r="S82" s="21" t="n">
        <v>0.33</v>
      </c>
      <c r="T82" s="21" t="n">
        <v>0.16</v>
      </c>
      <c r="U82" s="21" t="inlineStr">
        <is>
          <t>P</t>
        </is>
      </c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SUMINISTRO E INSTALACIÓN DE PUNTO SANITARIO CON SIFÓN EN PVC Ø2"</t>
        </is>
      </c>
      <c r="C83" s="19" t="n">
        <v>0.0002167078554485653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inlineStr">
        <is>
          <t>P</t>
        </is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</t>
        </is>
      </c>
      <c r="C84" s="19" t="n">
        <v>0.0005916364746077425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inlineStr">
        <is>
          <t>P</t>
        </is>
      </c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60 X 60 CM CON MARCO Y TAPA</t>
        </is>
      </c>
      <c r="C85" s="19" t="n">
        <v>0.001762910250195474</v>
      </c>
      <c r="D85" s="20" t="n">
        <v>2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inlineStr">
        <is>
          <t>P</t>
        </is>
      </c>
      <c r="V85" s="21" t="inlineStr">
        <is>
          <t>P</t>
        </is>
      </c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DE REGISTRO SANITARIO DE 1 M PARA ALCANTARILLADO MUNICIPAL. COMPRENDE SUMINISTRO, TRANSPORTE Y CONSTRUCCIÓN EN CONCRETO 3.000 PSI DE MUROS Y LOSA DE FONDO E=10 CM SECCIÓN 60X60, TAPA EN CONCRETO E=5 CM SECCIÓN 70X70 CON MANIJA EN VARILLA DE 1/2" Y REFUERZO EN ACERO G60. LA EXCAVACIÓN SE PAGA EN SU ÍTEM CORRESPONDIENTE</t>
        </is>
      </c>
      <c r="C86" s="19" t="n">
        <v>0.0009055762438208635</v>
      </c>
      <c r="D86" s="20" t="n">
        <v>3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inlineStr">
        <is>
          <t>P</t>
        </is>
      </c>
      <c r="V86" s="21" t="inlineStr">
        <is>
          <t>P</t>
        </is>
      </c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</t>
        </is>
      </c>
      <c r="C87" s="19" t="n">
        <v>0.0001861539751107149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inlineStr">
        <is>
          <t>P</t>
        </is>
      </c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COMPONENTE HIDROSANITARIO: INSTALACIONES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SANITARIA EN PVC 3", CON CAMA DE ARENA</t>
        </is>
      </c>
      <c r="C89" s="19" t="n">
        <v>0.001334309651701347</v>
      </c>
      <c r="D89" s="20" t="n">
        <v>6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n"/>
      <c r="R89" s="21" t="n"/>
      <c r="S89" s="21" t="n"/>
      <c r="T89" s="21" t="n"/>
      <c r="U89" s="21" t="inlineStr">
        <is>
          <t>P</t>
        </is>
      </c>
      <c r="V89" s="21" t="inlineStr">
        <is>
          <t>P</t>
        </is>
      </c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SANITARIA EN PVC 4", CON CAMA DE ARENA</t>
        </is>
      </c>
      <c r="C90" s="19" t="n">
        <v>0.002919496234229337</v>
      </c>
      <c r="D90" s="20" t="n">
        <v>6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n"/>
      <c r="R90" s="21" t="n"/>
      <c r="S90" s="21" t="n"/>
      <c r="T90" s="21" t="n"/>
      <c r="U90" s="21" t="inlineStr">
        <is>
          <t>P</t>
        </is>
      </c>
      <c r="V90" s="21" t="inlineStr">
        <is>
          <t>P</t>
        </is>
      </c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TIPO DOMO</t>
        </is>
      </c>
      <c r="C91" s="19" t="n">
        <v>4.177009630417874e-05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inlineStr">
        <is>
          <t>P</t>
        </is>
      </c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0.40 X 0.40 M</t>
        </is>
      </c>
      <c r="C92" s="19" t="n">
        <v>0.001712895470729925</v>
      </c>
      <c r="D92" s="20" t="n">
        <v>3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n"/>
      <c r="R92" s="21" t="n"/>
      <c r="S92" s="21" t="n"/>
      <c r="T92" s="21" t="n"/>
      <c r="U92" s="21" t="inlineStr">
        <is>
          <t>P</t>
        </is>
      </c>
      <c r="V92" s="21" t="inlineStr">
        <is>
          <t>P</t>
        </is>
      </c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EN LÁMINA GALVANIZADA</t>
        </is>
      </c>
      <c r="C93" s="19" t="n">
        <v>0.002439752053700393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inlineStr">
        <is>
          <t>P</t>
        </is>
      </c>
      <c r="V93" s="21" t="inlineStr">
        <is>
          <t>P</t>
        </is>
      </c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COMPONENTE HIDROSANITARIO: APARATOS SANITARIOS,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SIFÓN Y GRIFERÍA PARA LAVAMANOS DE INCRUSTAR</t>
        </is>
      </c>
      <c r="C95" s="19" t="n">
        <v>0.0007774113252492665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DISCAPACIDAD, CON ELEMENTOS DE FIJACIÓN</t>
        </is>
      </c>
      <c r="C96" s="19" t="n">
        <v>0.001807679367758996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CON ELEMENTOS DE FIJACIÓN</t>
        </is>
      </c>
      <c r="C97" s="19" t="n">
        <v>0.001957523874358034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Ø1"</t>
        </is>
      </c>
      <c r="C98" s="19" t="n">
        <v>0.0001571760480144504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</t>
        </is>
      </c>
      <c r="C99" s="19" t="n">
        <v>0.0008503059189640698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</t>
        </is>
      </c>
      <c r="C100" s="19" t="n">
        <v>0.001786044564292071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DE PERSONAS CON DISCAPACIDAD, 1 ML</t>
        </is>
      </c>
      <c r="C101" s="19" t="n">
        <v>0.001732507710786262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1 M X 0,6 M</t>
        </is>
      </c>
      <c r="C102" s="19" t="n">
        <v>0.000532669107065641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</t>
        </is>
      </c>
      <c r="C103" s="19" t="n">
        <v>0.001129528388006596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TIPO JARDÍN</t>
        </is>
      </c>
      <c r="C104" s="19" t="n">
        <v>0.000231279052715575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</t>
        </is>
      </c>
      <c r="C105" s="19" t="n">
        <v>0.0002233336539620627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INCRUSTAR</t>
        </is>
      </c>
      <c r="C106" s="19" t="n">
        <v>0.001736382347418442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0.0008383138490941916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COMPONENTE ELECTRICO: INSTALACIONES ELÉCTRICAS</t>
        </is>
      </c>
      <c r="C108" s="14">
        <f>SUM(C109:C121)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DE 1.0 M CON BRAZO SENCILLO (INCLUYE PLANTILLA DE PERNOS)</t>
        </is>
      </c>
      <c r="C109" s="19" t="n">
        <v>0.02180350381779639</v>
      </c>
      <c r="D109" s="20" t="n">
        <v>10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inlineStr">
        <is>
          <t>P</t>
        </is>
      </c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DADO/BASE EN CONCRETO 3.000 PSI PARA ANCLAJE DE POSTE (0.4 X 0.4 X 0.8 M)</t>
        </is>
      </c>
      <c r="C110" s="19" t="n">
        <v>0.006249893899778069</v>
      </c>
      <c r="D110" s="20" t="n">
        <v>8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inlineStr">
        <is>
          <t>P</t>
        </is>
      </c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DE DISTRIBUCIÓN CON PROTECCIONES</t>
        </is>
      </c>
      <c r="C111" s="19" t="n">
        <v>0.000830259423100252</v>
      </c>
      <c r="D111" s="20" t="n">
        <v>4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inlineStr">
        <is>
          <t>P</t>
        </is>
      </c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PARCIAL DE 8 A 12 CIRCUITOS CON BREAKERS</t>
        </is>
      </c>
      <c r="C112" s="19" t="n">
        <v>0.0003607689765603524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inlineStr">
        <is>
          <t>P</t>
        </is>
      </c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SUMINISTRO E INSTALACIÓN DE RED DE BAJA TENSIÓN SUBTERRÁNEA EN CONDUCTOR #6 AWG Y DUCTO PVC SCH 40 (INTERCONEXIÓN DE TABLEROS Y CARGAS)</t>
        </is>
      </c>
      <c r="C113" s="19" t="n">
        <v>0.001184258209546824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inlineStr">
        <is>
          <t>P</t>
        </is>
      </c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SUMINISTRO E INSTALACIÓN DE SALIDA NORMAL PARA TOMACORRIENTE, CON APARATO Y ELEMENTOS DE FIJACIÓN</t>
        </is>
      </c>
      <c r="C114" s="19" t="n">
        <v>0.001415470857569221</v>
      </c>
      <c r="D114" s="20" t="n">
        <v>4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inlineStr">
        <is>
          <t>P</t>
        </is>
      </c>
      <c r="V114" s="21" t="inlineStr">
        <is>
          <t>P</t>
        </is>
      </c>
      <c r="W114" s="21" t="n"/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VERTICAL DE DIFUSIÓN 2.4 M X 5/8"</t>
        </is>
      </c>
      <c r="C115" s="19" t="n">
        <v>0.005957693946104806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inlineStr">
        <is>
          <t>P</t>
        </is>
      </c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SUMINISTRO E INSTALACIÓN DE SALIDA (PUNTO) DE ILUMINACIÓN INTERIOR 110V EN CONDUCTOR #12 AWG Y PVC SCH 40, CON CAJA DE SALIDA</t>
        </is>
      </c>
      <c r="C116" s="19" t="n">
        <v>0.003135645054819055</v>
      </c>
      <c r="D116" s="20" t="n">
        <v>9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inlineStr">
        <is>
          <t>P</t>
        </is>
      </c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SUMINISTRO E INSTALACIÓN DE SALIDA PARA INTERRUPTOR SENCILLO (APAGADOR) EN PVC SCH 40 1/2" Y CONDUCTOR #12 AWG (CON CAJA 2X4)</t>
        </is>
      </c>
      <c r="C117" s="19" t="n">
        <v>0.0002062730528484715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inlineStr">
        <is>
          <t>P</t>
        </is>
      </c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18W PARA ILUMINACIÓN INTERIOR</t>
        </is>
      </c>
      <c r="C118" s="19" t="n">
        <v>0.001702522131078401</v>
      </c>
      <c r="D118" s="20" t="n">
        <v>6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inlineStr">
        <is>
          <t>P</t>
        </is>
      </c>
      <c r="V118" s="21" t="inlineStr">
        <is>
          <t>P</t>
        </is>
      </c>
      <c r="W118" s="21" t="n"/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SUMINISTRO E INSTALACIÓN DE SALIDA PARA INTERRUPTOR DOBLE/CONMUTABLE (APAGADOR) EN CONDUIT PVC SCH 40 1/2" Y CONDUCTOR #12 AWG (CON CAJA 2X4)</t>
        </is>
      </c>
      <c r="C119" s="19" t="n">
        <v>0.0002451784815748533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inlineStr">
        <is>
          <t>P</t>
        </is>
      </c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REGISTROS DE 40 X 40</t>
        </is>
      </c>
      <c r="C120" s="19" t="n">
        <v>0.001621544696338159</v>
      </c>
      <c r="D120" s="20" t="n">
        <v>6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inlineStr">
        <is>
          <t>P</t>
        </is>
      </c>
      <c r="V120" s="21" t="inlineStr">
        <is>
          <t>P</t>
        </is>
      </c>
      <c r="W120" s="21" t="n"/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7" t="inlineStr">
        <is>
          <t>12.13</t>
        </is>
      </c>
      <c r="B121" s="18" t="inlineStr">
        <is>
          <t>SUMINISTRO E INSTALACION SALIDA PARA TOMACORRIENTE GFCI, INCLUYE APARATO Y ELEMENTOS DE FIJACIÓN</t>
        </is>
      </c>
      <c r="C121" s="19" t="n">
        <v>0.0001472168883329343</v>
      </c>
      <c r="D121" s="20" t="n">
        <v>1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inlineStr">
        <is>
          <t>P</t>
        </is>
      </c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2">
        <f>SUM(E121:AC121)</f>
        <v/>
      </c>
    </row>
    <row r="122">
      <c r="A122" s="12" t="inlineStr">
        <is>
          <t>13</t>
        </is>
      </c>
      <c r="B122" s="13" t="inlineStr">
        <is>
          <t>COMPONENTE ELECTRICO: SISTEMA FOTOVOLTAICO</t>
        </is>
      </c>
      <c r="C122" s="14">
        <f>SUM(C123:C132)</f>
        <v/>
      </c>
      <c r="D122" s="15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>
      <c r="A123" s="17" t="inlineStr">
        <is>
          <t>13.1</t>
        </is>
      </c>
      <c r="B123" s="18" t="inlineStr">
        <is>
          <t>SUMINISTRO E INSTALACIÓN DE LUMINARIA SOLAR LED DE ALUMBRADO PÚBLICO 35W (CON MONTAJE Y CONEXIÓN)</t>
        </is>
      </c>
      <c r="C123" s="19" t="n">
        <v>0.1048635024696508</v>
      </c>
      <c r="D123" s="20" t="n">
        <v>10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inlineStr">
        <is>
          <t>P</t>
        </is>
      </c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13.2</t>
        </is>
      </c>
      <c r="B124" s="18" t="inlineStr">
        <is>
          <t>SUMINISTRO E INSTALACIÓN DE REFLECTOR SOLAR LED 35W PARA EXTERIOR Y SALA POLIVALENTE (CON MONTAJE)</t>
        </is>
      </c>
      <c r="C124" s="19" t="n">
        <v>0.003618695957423987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13.3</t>
        </is>
      </c>
      <c r="B125" s="18" t="inlineStr">
        <is>
          <t>SUMINISTRO E INSTALACIÓN DE MÓDULO SOLAR DE 630W CON ESTRUCTURA DE SOPORTE</t>
        </is>
      </c>
      <c r="C125" s="19" t="n">
        <v>0.008698829490900707</v>
      </c>
      <c r="D125" s="20" t="n">
        <v>5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13.4</t>
        </is>
      </c>
      <c r="B126" s="18" t="inlineStr">
        <is>
          <t>SUMINISTRO E INSTALACIÓN DE BANCO DE BATERÍAS DE LITIO 200AH 51.2V (CON CABLEADO Y BMS)</t>
        </is>
      </c>
      <c r="C126" s="19" t="n">
        <v>0.01258680265634242</v>
      </c>
      <c r="D126" s="20" t="n">
        <v>3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13.5</t>
        </is>
      </c>
      <c r="B127" s="18" t="inlineStr">
        <is>
          <t>SUMINISTRO E INSTALACIÓN DE INVERSOR-CARGADOR HÍBRIDO DE 10KW 48V</t>
        </is>
      </c>
      <c r="C127" s="19" t="n">
        <v>0.009738921567262812</v>
      </c>
      <c r="D127" s="20" t="n">
        <v>4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n"/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13.6</t>
        </is>
      </c>
      <c r="B128" s="18" t="inlineStr">
        <is>
          <t>SUMINISTRO E INSTALACIÓN DE CABLEADO FOTOVOLTAICO DC 4MM² (STRING) CON CONECTORES</t>
        </is>
      </c>
      <c r="C128" s="19" t="n">
        <v>0.003079610303843119</v>
      </c>
      <c r="D128" s="20" t="n">
        <v>8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inlineStr">
        <is>
          <t>P</t>
        </is>
      </c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13.7</t>
        </is>
      </c>
      <c r="B129" s="18" t="inlineStr">
        <is>
          <t>SUMINISTRO E INSTALACIÓN DE CABLEADO AC #6 AWG A SALIDA DE INVERSOR, CON ACCESORIOS</t>
        </is>
      </c>
      <c r="C129" s="19" t="n">
        <v>0.000615957579557998</v>
      </c>
      <c r="D129" s="20" t="n">
        <v>2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13.8</t>
        </is>
      </c>
      <c r="B130" s="18" t="inlineStr">
        <is>
          <t>SUMINISTRO E INSTALACIÓN DE TABLERO DE PROTECCIONES DC/AC (COFRE IP65, BREAKERS, DPS Y FUSIBLES)</t>
        </is>
      </c>
      <c r="C130" s="19" t="n">
        <v>0.001948123749535365</v>
      </c>
      <c r="D130" s="20" t="n">
        <v>4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13.9</t>
        </is>
      </c>
      <c r="B131" s="18" t="inlineStr">
        <is>
          <t>SUMINISTRO E INSTALACIÓN DE CANALIZACIÓN EN TUBERÍA IMC 1-1/4" CON ACCESORIOS Y SOPORTE TIPO CHANNEL</t>
        </is>
      </c>
      <c r="C131" s="19" t="n">
        <v>0.0007137871355611561</v>
      </c>
      <c r="D131" s="20" t="n">
        <v>2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inlineStr">
        <is>
          <t>P</t>
        </is>
      </c>
      <c r="Z131" s="21" t="n"/>
      <c r="AA131" s="21" t="n"/>
      <c r="AB131" s="21" t="n"/>
      <c r="AC131" s="21" t="n"/>
      <c r="AD131" s="22">
        <f>SUM(E131:AC131)</f>
        <v/>
      </c>
    </row>
    <row r="132">
      <c r="A132" s="17" t="inlineStr">
        <is>
          <t>13.10</t>
        </is>
      </c>
      <c r="B132" s="18" t="inlineStr">
        <is>
          <t>SUMINISTRO E INSTALACIÓN DE SENSORES DE MOVIMIENTO PARA BAÑOS</t>
        </is>
      </c>
      <c r="C132" s="19" t="n">
        <v>0.0001012872329339868</v>
      </c>
      <c r="D132" s="20" t="n">
        <v>1</v>
      </c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inlineStr">
        <is>
          <t>P</t>
        </is>
      </c>
      <c r="Y132" s="21" t="n"/>
      <c r="Z132" s="21" t="n"/>
      <c r="AA132" s="21" t="n"/>
      <c r="AB132" s="21" t="n"/>
      <c r="AC132" s="21" t="n"/>
      <c r="AD132" s="22">
        <f>SUM(E132:AC132)</f>
        <v/>
      </c>
    </row>
    <row r="133">
      <c r="A133" s="12" t="inlineStr">
        <is>
          <t>14</t>
        </is>
      </c>
      <c r="B133" s="13" t="inlineStr">
        <is>
          <t>AREA RECREATIVA GIMNASIO BIOSALUDABLE</t>
        </is>
      </c>
      <c r="C133" s="14">
        <f>SUM(C134:C139)</f>
        <v/>
      </c>
      <c r="D133" s="15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</row>
    <row r="134">
      <c r="A134" s="17" t="inlineStr">
        <is>
          <t>14.1</t>
        </is>
      </c>
      <c r="B134" s="18" t="inlineStr">
        <is>
          <t>SUMINISTRO E INSTALACIÓN DE MÁQUINA BIOSALUDABLE DE BARRAS PARALELAS, EMPOTRADA. COMPRENDE PERFORACIÓN DE PLANTILLA EN CONCRETO DE 40×40 CM Y PROFUNDIDAD 30–40 CM, SUMINISTRO DE CEMENTO, ARENA, PIEDRA Y AGUA PARA RELLENO, APLOME, NIVELACIÓN Y LIMPIEZA</t>
        </is>
      </c>
      <c r="C134" s="19" t="n">
        <v>0.001841460052896743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inlineStr">
        <is>
          <t>P</t>
        </is>
      </c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14.2</t>
        </is>
      </c>
      <c r="B135" s="18" t="inlineStr">
        <is>
          <t>SUMINISTRO E INSTALACIÓN DE MÁQUINA BIOSALUDABLE TIPO CAMINADOR AÉREO, EMPOTRADA. COMPRENDE PERFORACIÓN DE PLANTILLA EN CONCRETO DE 40×40 CM Y PROFUNDIDAD 30–40 CM, SUMINISTRO DE CEMENTO, ARENA, PIEDRA Y AGUA PARA RELLENO, APLOME, NIVELACIÓN Y LIMPIEZA</t>
        </is>
      </c>
      <c r="C135" s="19" t="n">
        <v>0.002024051339003696</v>
      </c>
      <c r="D135" s="20" t="n">
        <v>1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inlineStr">
        <is>
          <t>P</t>
        </is>
      </c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14.3</t>
        </is>
      </c>
      <c r="B136" s="18" t="inlineStr">
        <is>
          <t>SUMINISTRO E INSTALACIÓN DE MÁQUINA BIOSALUDABLE TIPO PONY, EMPOTRADA. COMPRENDE PERFORACIÓN DE PLANTILLA EN CONCRETO DE 40×40 CM Y PROFUNDIDAD 30–40 CM, SUMINISTRO DE CEMENTO, ARENA, PIEDRA Y AGUA PARA RELLENO, APLOME, NIVELACIÓN Y LIMPIEZA</t>
        </is>
      </c>
      <c r="C136" s="19" t="n">
        <v>0.003863372543062029</v>
      </c>
      <c r="D136" s="20" t="n">
        <v>2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inlineStr">
        <is>
          <t>P</t>
        </is>
      </c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14.4</t>
        </is>
      </c>
      <c r="B137" s="18" t="inlineStr">
        <is>
          <t>SUMINISTRO E INSTALACIÓN DE MÁQUINA BIOSALUDABLE DE GIRO DE CADERA (TWISTER), EMPOTRADA. COMPRENDE PERFORACIÓN DE PLANTILLA EN CONCRETO DE 40×40 CM Y PROFUNDIDAD 30–40 CM, SUMINISTRO DE CEMENTO, ARENA, PIEDRA Y AGUA PARA RELLENO, APLOME, NIVELACIÓN Y LIMPIEZA</t>
        </is>
      </c>
      <c r="C137" s="19" t="n">
        <v>0.002191888428863603</v>
      </c>
      <c r="D137" s="20" t="n">
        <v>1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inlineStr">
        <is>
          <t>P</t>
        </is>
      </c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14.5</t>
        </is>
      </c>
      <c r="B138" s="18" t="inlineStr">
        <is>
          <t>SUMINISTRO E INSTALACIÓN DE MÁQUINA BIOSALUDABLE TIPO CICLA, EMPOTRADA. COMPRENDE PERFORACIÓN DE PLANTILLA EN CONCRETO DE 40×40 CM Y PROFUNDIDAD 30–40 CM, SUMINISTRO DE CEMENTO, ARENA, PIEDRA Y AGUA PARA RELLENO, APLOME, NIVELACIÓN Y LIMPIEZA</t>
        </is>
      </c>
      <c r="C138" s="19" t="n">
        <v>0.004089398675688184</v>
      </c>
      <c r="D138" s="20" t="n">
        <v>2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inlineStr">
        <is>
          <t>P</t>
        </is>
      </c>
      <c r="Z138" s="21" t="n"/>
      <c r="AA138" s="21" t="n"/>
      <c r="AB138" s="21" t="n"/>
      <c r="AC138" s="21" t="n"/>
      <c r="AD138" s="22">
        <f>SUM(E138:AC138)</f>
        <v/>
      </c>
    </row>
    <row r="139">
      <c r="A139" s="17" t="inlineStr">
        <is>
          <t>14.6</t>
        </is>
      </c>
      <c r="B139" s="18" t="inlineStr">
        <is>
          <t>SUMINISTRO E INSTALACIÓN DE MÁQUINA BIOSALUDABLE TIPO DOBLE SWINGER, EMPOTRADA. COMPRENDE PERFORACIÓN DE PLANTILLA EN CONCRETO DE 40×40 CM Y PROFUNDIDAD 30–40 CM, SUMINISTRO DE CEMENTO, ARENA, PIEDRA Y AGUA PARA RELLENO, APLOME, NIVELACIÓN Y LIMPIEZA</t>
        </is>
      </c>
      <c r="C139" s="19" t="n">
        <v>0.002044699337844092</v>
      </c>
      <c r="D139" s="20" t="n">
        <v>1</v>
      </c>
      <c r="E139" s="21" t="n"/>
      <c r="F139" s="21" t="n"/>
      <c r="G139" s="21" t="n"/>
      <c r="H139" s="21" t="n"/>
      <c r="I139" s="21" t="n"/>
      <c r="J139" s="21" t="n"/>
      <c r="K139" s="21" t="inlineStr">
        <is>
          <t>P</t>
        </is>
      </c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inlineStr">
        <is>
          <t>P</t>
        </is>
      </c>
      <c r="Z139" s="21" t="n"/>
      <c r="AA139" s="21" t="n"/>
      <c r="AB139" s="21" t="n"/>
      <c r="AC139" s="21" t="n"/>
      <c r="AD139" s="22">
        <f>SUM(E139:AC139)</f>
        <v/>
      </c>
    </row>
    <row r="140">
      <c r="A140" s="12" t="inlineStr">
        <is>
          <t>15</t>
        </is>
      </c>
      <c r="B140" s="13" t="inlineStr">
        <is>
          <t>ESPACIO PUBLICO: PAISAJISMO Y OBRAS EXTERIORES</t>
        </is>
      </c>
      <c r="C140" s="14">
        <f>SUM(C141:C144)</f>
        <v/>
      </c>
      <c r="D140" s="15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>
      <c r="A141" s="17" t="inlineStr">
        <is>
          <t>15.1</t>
        </is>
      </c>
      <c r="B141" s="18" t="inlineStr">
        <is>
          <t>SUMINISTRO E INSTALACIÓN DE CONCRETO CEPILLADO 4.000 PSI PARA ANDENES, E=0.15 M</t>
        </is>
      </c>
      <c r="C141" s="19" t="n">
        <v>0.01716235317937743</v>
      </c>
      <c r="D141" s="20" t="n">
        <v>1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inlineStr">
        <is>
          <t>P</t>
        </is>
      </c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15.2</t>
        </is>
      </c>
      <c r="B142" s="18" t="inlineStr">
        <is>
          <t>ADECUACIÓN PAISAJÍSTICA Y EMPRADIZACIÓN DEL PROYECTO</t>
        </is>
      </c>
      <c r="C142" s="19" t="n">
        <v>0.02480741122712135</v>
      </c>
      <c r="D142" s="20" t="n">
        <v>10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inlineStr">
        <is>
          <t>P</t>
        </is>
      </c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inlineStr">
        <is>
          <t>P</t>
        </is>
      </c>
      <c r="Z142" s="21" t="inlineStr">
        <is>
          <t>P</t>
        </is>
      </c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15.3</t>
        </is>
      </c>
      <c r="B143" s="18" t="inlineStr">
        <is>
          <t>SUMINISTRO E INSTALACIÓN DE ÁRBOL NATIVO DE 1,0 A 1,5 M — CASSIA FISTULA (LLUVIA DE ORO)</t>
        </is>
      </c>
      <c r="C143" s="19" t="n">
        <v>0.004719829389768614</v>
      </c>
      <c r="D143" s="20" t="n">
        <v>3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inlineStr">
        <is>
          <t>P</t>
        </is>
      </c>
      <c r="AA143" s="21" t="n"/>
      <c r="AB143" s="21" t="n"/>
      <c r="AC143" s="21" t="n"/>
      <c r="AD143" s="22">
        <f>SUM(E143:AC143)</f>
        <v/>
      </c>
    </row>
    <row r="144">
      <c r="A144" s="17" t="inlineStr">
        <is>
          <t>15.4</t>
        </is>
      </c>
      <c r="B144" s="18" t="inlineStr">
        <is>
          <t>SUMINISTRO E INSTALACIÓN DE BANCAS</t>
        </is>
      </c>
      <c r="C144" s="19" t="n">
        <v>0.00964139006023136</v>
      </c>
      <c r="D144" s="20" t="n">
        <v>2</v>
      </c>
      <c r="E144" s="21" t="n"/>
      <c r="F144" s="21" t="n"/>
      <c r="G144" s="21" t="n"/>
      <c r="H144" s="21" t="n"/>
      <c r="I144" s="21" t="n"/>
      <c r="J144" s="21" t="n"/>
      <c r="K144" s="21" t="inlineStr">
        <is>
          <t>P</t>
        </is>
      </c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inlineStr">
        <is>
          <t>P</t>
        </is>
      </c>
      <c r="AA144" s="21" t="n"/>
      <c r="AB144" s="21" t="n"/>
      <c r="AC144" s="21" t="n"/>
      <c r="AD144" s="22">
        <f>SUM(E144:AC144)</f>
        <v/>
      </c>
    </row>
    <row r="145">
      <c r="A145" s="12" t="inlineStr">
        <is>
          <t>16</t>
        </is>
      </c>
      <c r="B145" s="13" t="inlineStr">
        <is>
          <t>CIERRE DE OBRA: ASEO Y LIMPIEZA GENERAL</t>
        </is>
      </c>
      <c r="C145" s="14">
        <f>SUM(C146:C146)</f>
        <v/>
      </c>
      <c r="D145" s="15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</row>
    <row r="146">
      <c r="A146" s="17" t="inlineStr">
        <is>
          <t>16.1</t>
        </is>
      </c>
      <c r="B146" s="18" t="inlineStr">
        <is>
          <t>LIMPIEZA Y ASEO GENERAL PARA ENTREGA DE OBRA</t>
        </is>
      </c>
      <c r="C146" s="19" t="n">
        <v>0.005394346642938504</v>
      </c>
      <c r="D146" s="20" t="n">
        <v>12</v>
      </c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inlineStr">
        <is>
          <t>P</t>
        </is>
      </c>
      <c r="AB146" s="21" t="inlineStr">
        <is>
          <t>P</t>
        </is>
      </c>
      <c r="AC146" s="21" t="inlineStr">
        <is>
          <t>P</t>
        </is>
      </c>
      <c r="AD146" s="22">
        <f>SUM(E146:AC146)</f>
        <v/>
      </c>
    </row>
    <row r="148">
      <c r="B148" s="23" t="inlineStr">
        <is>
          <t>% AVANCE EJECUTADO SEMANAL</t>
        </is>
      </c>
      <c r="E148" s="27">
        <f>SUMPRODUCT($C$7:$C$146,E7:E146)</f>
        <v/>
      </c>
      <c r="F148" s="27">
        <f>SUMPRODUCT($C$7:$C$146,F7:F146)</f>
        <v/>
      </c>
      <c r="G148" s="27">
        <f>SUMPRODUCT($C$7:$C$146,G7:G146)</f>
        <v/>
      </c>
      <c r="H148" s="27">
        <f>SUMPRODUCT($C$7:$C$146,H7:H146)</f>
        <v/>
      </c>
      <c r="I148" s="27">
        <f>SUMPRODUCT($C$7:$C$146,I7:I146)</f>
        <v/>
      </c>
      <c r="J148" s="27">
        <f>SUMPRODUCT($C$7:$C$146,J7:J146)</f>
        <v/>
      </c>
      <c r="K148" s="27">
        <f>SUMPRODUCT($C$7:$C$146,K7:K146)</f>
        <v/>
      </c>
      <c r="L148" s="27">
        <f>SUMPRODUCT($C$7:$C$146,L7:L146)</f>
        <v/>
      </c>
      <c r="M148" s="27">
        <f>SUMPRODUCT($C$7:$C$146,M7:M146)</f>
        <v/>
      </c>
      <c r="N148" s="27">
        <f>SUMPRODUCT($C$7:$C$146,N7:N146)</f>
        <v/>
      </c>
      <c r="O148" s="27">
        <f>SUMPRODUCT($C$7:$C$146,O7:O146)</f>
        <v/>
      </c>
      <c r="P148" s="27">
        <f>SUMPRODUCT($C$7:$C$146,P7:P146)</f>
        <v/>
      </c>
      <c r="Q148" s="27">
        <f>SUMPRODUCT($C$7:$C$146,Q7:Q146)</f>
        <v/>
      </c>
      <c r="R148" s="27">
        <f>SUMPRODUCT($C$7:$C$146,R7:R146)</f>
        <v/>
      </c>
      <c r="S148" s="27">
        <f>SUMPRODUCT($C$7:$C$146,S7:S146)</f>
        <v/>
      </c>
      <c r="T148" s="27">
        <f>SUMPRODUCT($C$7:$C$146,T7:T146)</f>
        <v/>
      </c>
      <c r="U148" s="27">
        <f>SUMPRODUCT($C$7:$C$146,U7:U146)</f>
        <v/>
      </c>
      <c r="V148" s="27">
        <f>SUMPRODUCT($C$7:$C$146,V7:V146)</f>
        <v/>
      </c>
      <c r="W148" s="27">
        <f>SUMPRODUCT($C$7:$C$146,W7:W146)</f>
        <v/>
      </c>
      <c r="X148" s="27">
        <f>SUMPRODUCT($C$7:$C$146,X7:X146)</f>
        <v/>
      </c>
      <c r="Y148" s="27">
        <f>SUMPRODUCT($C$7:$C$146,Y7:Y146)</f>
        <v/>
      </c>
      <c r="Z148" s="27">
        <f>SUMPRODUCT($C$7:$C$146,Z7:Z146)</f>
        <v/>
      </c>
      <c r="AA148" s="27">
        <f>SUMPRODUCT($C$7:$C$146,AA7:AA146)</f>
        <v/>
      </c>
      <c r="AB148" s="27">
        <f>SUMPRODUCT($C$7:$C$146,AB7:AB146)</f>
        <v/>
      </c>
      <c r="AC148" s="27">
        <f>SUMPRODUCT($C$7:$C$146,AC7:AC146)</f>
        <v/>
      </c>
    </row>
    <row r="149">
      <c r="B149" s="23" t="inlineStr">
        <is>
          <t>% AVANCE EJECUTADO ACUMULADO</t>
        </is>
      </c>
      <c r="E149" s="27">
        <f>E148</f>
        <v/>
      </c>
      <c r="F149" s="27">
        <f>E149+F148</f>
        <v/>
      </c>
      <c r="G149" s="27">
        <f>F149+G148</f>
        <v/>
      </c>
      <c r="H149" s="27">
        <f>G149+H148</f>
        <v/>
      </c>
      <c r="I149" s="27">
        <f>H149+I148</f>
        <v/>
      </c>
      <c r="J149" s="27">
        <f>I149+J148</f>
        <v/>
      </c>
      <c r="K149" s="27">
        <f>J149+K148</f>
        <v/>
      </c>
      <c r="L149" s="27">
        <f>K149+L148</f>
        <v/>
      </c>
      <c r="M149" s="27">
        <f>L149+M148</f>
        <v/>
      </c>
      <c r="N149" s="27">
        <f>M149+N148</f>
        <v/>
      </c>
      <c r="O149" s="27">
        <f>N149+O148</f>
        <v/>
      </c>
      <c r="P149" s="27">
        <f>O149+P148</f>
        <v/>
      </c>
      <c r="Q149" s="27">
        <f>P149+Q148</f>
        <v/>
      </c>
      <c r="R149" s="27">
        <f>Q149+R148</f>
        <v/>
      </c>
      <c r="S149" s="27">
        <f>R149+S148</f>
        <v/>
      </c>
      <c r="T149" s="27">
        <f>S149+T148</f>
        <v/>
      </c>
      <c r="U149" s="27">
        <f>T149+U148</f>
        <v/>
      </c>
      <c r="V149" s="27">
        <f>U149+V148</f>
        <v/>
      </c>
      <c r="W149" s="27">
        <f>V149+W148</f>
        <v/>
      </c>
      <c r="X149" s="27">
        <f>W149+X148</f>
        <v/>
      </c>
      <c r="Y149" s="27">
        <f>X149+Y148</f>
        <v/>
      </c>
      <c r="Z149" s="27">
        <f>Y149+Z148</f>
        <v/>
      </c>
      <c r="AA149" s="27">
        <f>Z149+AA148</f>
        <v/>
      </c>
      <c r="AB149" s="27">
        <f>AA149+AB148</f>
        <v/>
      </c>
      <c r="AC149" s="27">
        <f>AB149+AC148</f>
        <v/>
      </c>
      <c r="AD149" s="28">
        <f>MAX(E149:AC149)</f>
        <v/>
      </c>
    </row>
    <row r="150">
      <c r="B150" s="23" t="inlineStr">
        <is>
          <t>% AVANCE PROGRAMADO SEMANAL (LÍNEA BASE)</t>
        </is>
      </c>
      <c r="E150" s="27" t="n">
        <v>0.0024070622934496</v>
      </c>
      <c r="F150" s="27" t="n">
        <v>0.00288847443244886</v>
      </c>
      <c r="G150" s="27" t="n">
        <v>0.01287576261809254</v>
      </c>
      <c r="H150" s="27" t="n">
        <v>0.01434932668865004</v>
      </c>
      <c r="I150" s="27" t="n">
        <v>0.01615690931039519</v>
      </c>
      <c r="J150" s="27" t="n">
        <v>0.02740335432174093</v>
      </c>
      <c r="K150" s="27" t="n">
        <v>0.07151344793125795</v>
      </c>
      <c r="L150" s="27" t="n">
        <v>0.02694305399784365</v>
      </c>
      <c r="M150" s="27" t="n">
        <v>0.01604536594187696</v>
      </c>
      <c r="N150" s="27" t="n">
        <v>0.01719377535602788</v>
      </c>
      <c r="O150" s="27" t="n">
        <v>0.02993398423002183</v>
      </c>
      <c r="P150" s="27" t="n">
        <v>0.07819684253361391</v>
      </c>
      <c r="Q150" s="27" t="n">
        <v>0.06620130788528446</v>
      </c>
      <c r="R150" s="27" t="n">
        <v>0.08150104106990419</v>
      </c>
      <c r="S150" s="27" t="n">
        <v>0.06296400476435951</v>
      </c>
      <c r="T150" s="27" t="n">
        <v>0.05522807184455759</v>
      </c>
      <c r="U150" s="27" t="n">
        <v>0.07209540160952506</v>
      </c>
      <c r="V150" s="27" t="n">
        <v>0.05718566578165239</v>
      </c>
      <c r="W150" s="27" t="n">
        <v>0.03234258409783331</v>
      </c>
      <c r="X150" s="27" t="n">
        <v>0.04650424823806285</v>
      </c>
      <c r="Y150" s="27" t="n">
        <v>0.1355540490349511</v>
      </c>
      <c r="Z150" s="27" t="n">
        <v>0.0685970477344994</v>
      </c>
      <c r="AA150" s="27" t="n">
        <v>0.002772516196520008</v>
      </c>
      <c r="AB150" s="27" t="n">
        <v>0.00224764447596113</v>
      </c>
      <c r="AC150" s="27" t="n">
        <v>0.0008990577903844526</v>
      </c>
    </row>
    <row r="151">
      <c r="B151" s="23" t="inlineStr">
        <is>
          <t>% AVANCE PROGRAMADO ACUMULADO (LÍNEA BASE)</t>
        </is>
      </c>
      <c r="E151" s="27" t="n">
        <v>0.0024070622934496</v>
      </c>
      <c r="F151" s="27" t="n">
        <v>0.00529553672589846</v>
      </c>
      <c r="G151" s="27" t="n">
        <v>0.018171299343991</v>
      </c>
      <c r="H151" s="27" t="n">
        <v>0.03252062603264104</v>
      </c>
      <c r="I151" s="27" t="n">
        <v>0.04867753534303623</v>
      </c>
      <c r="J151" s="27" t="n">
        <v>0.07608088966477716</v>
      </c>
      <c r="K151" s="27" t="n">
        <v>0.1475943375960351</v>
      </c>
      <c r="L151" s="27" t="n">
        <v>0.1745373915938788</v>
      </c>
      <c r="M151" s="27" t="n">
        <v>0.1905827575357557</v>
      </c>
      <c r="N151" s="27" t="n">
        <v>0.2077765328917836</v>
      </c>
      <c r="O151" s="27" t="n">
        <v>0.2377105171218054</v>
      </c>
      <c r="P151" s="27" t="n">
        <v>0.3159073596554193</v>
      </c>
      <c r="Q151" s="27" t="n">
        <v>0.3821086675407038</v>
      </c>
      <c r="R151" s="27" t="n">
        <v>0.463609708610608</v>
      </c>
      <c r="S151" s="27" t="n">
        <v>0.5265737133749675</v>
      </c>
      <c r="T151" s="27" t="n">
        <v>0.5818017852195251</v>
      </c>
      <c r="U151" s="27" t="n">
        <v>0.6538971868290502</v>
      </c>
      <c r="V151" s="27" t="n">
        <v>0.7110828526107026</v>
      </c>
      <c r="W151" s="27" t="n">
        <v>0.7434254367085359</v>
      </c>
      <c r="X151" s="27" t="n">
        <v>0.7899296849465988</v>
      </c>
      <c r="Y151" s="27" t="n">
        <v>0.9254837339815498</v>
      </c>
      <c r="Z151" s="27" t="n">
        <v>0.9940807817160492</v>
      </c>
      <c r="AA151" s="27" t="n">
        <v>0.9968532979125692</v>
      </c>
      <c r="AB151" s="27" t="n">
        <v>0.9991009423885303</v>
      </c>
      <c r="AC151" s="27" t="n">
        <v>1.000000000178915</v>
      </c>
    </row>
  </sheetData>
  <mergeCells count="4">
    <mergeCell ref="E3:N3"/>
    <mergeCell ref="O4:P4"/>
    <mergeCell ref="O3:P3"/>
    <mergeCell ref="E4:N4"/>
  </mergeCells>
  <conditionalFormatting sqref="E7:AC146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6">
    <cfRule type="expression" priority="3" dxfId="2">
      <formula>AD7&gt;1.0001</formula>
    </cfRule>
  </conditionalFormatting>
  <dataValidations count="1">
    <dataValidation sqref="E7:AC146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2026-10-29T14:09:16Z</dcterms:created>
  <dcterms:modified xmlns:dcterms="http://purl.org/dc/terms/" xmlns:xsi="http://www.w3.org/2001/XMLSchema-instance" xsi:type="dcterms:W3CDTF">2026-10-29T23:42:25Z</dcterms:modified>
</cp:coreProperties>
</file>