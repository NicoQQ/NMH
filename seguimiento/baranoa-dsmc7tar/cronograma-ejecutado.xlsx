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ONOGRAMA EJECUTADO" sheetId="1" state="visible" r:id="rId1"/>
  </sheets>
  <definedNames>
    <definedName name="_xlnm.Print_Titles" localSheetId="0">'CRONOGRAMA EJECUTADO'!$5:$6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yyyy-mm-dd h:mm:ss"/>
    <numFmt numFmtId="166" formatCode="dd/mm"/>
    <numFmt numFmtId="167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132D46"/>
      <sz val="10"/>
    </font>
    <font>
      <name val="Arial"/>
      <b val="1"/>
      <color rgb="00132D46"/>
      <sz val="14"/>
    </font>
    <font>
      <name val="Arial"/>
      <b val="1"/>
      <color rgb="00132D46"/>
      <sz val="9"/>
    </font>
    <font>
      <name val="Arial"/>
      <b val="1"/>
      <color rgb="00132D46"/>
      <sz val="11"/>
    </font>
    <font>
      <name val="Arial"/>
      <color rgb="00132D46"/>
      <sz val="9"/>
    </font>
    <font>
      <name val="Arial"/>
      <color rgb="0052667A"/>
      <sz val="8"/>
    </font>
    <font>
      <name val="Arial"/>
      <b val="1"/>
      <color rgb="00FFFFFF"/>
      <sz val="9"/>
    </font>
  </fonts>
  <fills count="6">
    <fill>
      <patternFill/>
    </fill>
    <fill>
      <patternFill patternType="gray125"/>
    </fill>
    <fill>
      <patternFill patternType="solid">
        <fgColor rgb="00FFF6D6"/>
      </patternFill>
    </fill>
    <fill>
      <patternFill patternType="solid">
        <fgColor rgb="00132D46"/>
      </patternFill>
    </fill>
    <fill>
      <patternFill patternType="solid">
        <fgColor rgb="00E3E9EF"/>
      </patternFill>
    </fill>
    <fill>
      <patternFill patternType="solid">
        <fgColor rgb="00EAF1F5"/>
      </patternFill>
    </fill>
  </fills>
  <borders count="2">
    <border>
      <left/>
      <right/>
      <top/>
      <bottom/>
      <diagonal/>
    </border>
    <border>
      <left style="thin">
        <color rgb="00D5DDE2"/>
      </left>
      <right style="thin">
        <color rgb="00D5DDE2"/>
      </right>
      <top style="thin">
        <color rgb="00D5DDE2"/>
      </top>
      <bottom style="thin">
        <color rgb="00D5DDE2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center"/>
    </xf>
    <xf numFmtId="0" fontId="4" fillId="0" borderId="0" pivotButton="0" quotePrefix="0" xfId="0"/>
    <xf numFmtId="164" fontId="5" fillId="2" borderId="0" applyAlignment="1" pivotButton="0" quotePrefix="0" xfId="0">
      <alignment horizontal="left"/>
    </xf>
    <xf numFmtId="9" fontId="3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wrapText="1"/>
    </xf>
    <xf numFmtId="164" fontId="3" fillId="2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right"/>
    </xf>
    <xf numFmtId="166" fontId="6" fillId="0" borderId="0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 wrapText="1"/>
    </xf>
    <xf numFmtId="49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 wrapText="1"/>
    </xf>
    <xf numFmtId="10" fontId="7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pivotButton="0" quotePrefix="0" xfId="0"/>
    <xf numFmtId="49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9" fontId="5" fillId="0" borderId="1" applyAlignment="1" pivotButton="0" quotePrefix="0" xfId="0">
      <alignment horizontal="center" vertical="center"/>
    </xf>
    <xf numFmtId="9" fontId="3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167" fontId="5" fillId="5" borderId="1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Normal" xfId="0" builtinId="0" hidden="0"/>
  </cellStyles>
  <dxfs count="3">
    <dxf>
      <font>
        <b val="1"/>
        <color rgb="001F4E85"/>
      </font>
      <fill>
        <patternFill patternType="solid">
          <fgColor rgb="00D3E1F1"/>
          <bgColor rgb="00D3E1F1"/>
        </patternFill>
      </fill>
    </dxf>
    <dxf>
      <font>
        <b val="1"/>
        <color rgb="00FFFFFF"/>
      </font>
      <fill>
        <patternFill patternType="solid">
          <fgColor rgb="0000A577"/>
          <bgColor rgb="0000A577"/>
        </patternFill>
      </fill>
    </dxf>
    <dxf>
      <font>
        <b val="1"/>
        <color rgb="009B1C1C"/>
      </font>
      <fill>
        <patternFill patternType="solid">
          <fgColor rgb="00F8D7D3"/>
          <b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D150"/>
  <sheetViews>
    <sheetView zoomScale="90"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62" customWidth="1" min="2" max="2"/>
    <col width="9" customWidth="1" min="3" max="3"/>
    <col width="7" customWidth="1" min="4" max="4"/>
    <col width="6.4" customWidth="1" min="5" max="5"/>
    <col width="6.4" customWidth="1" min="6" max="6"/>
    <col width="6.4" customWidth="1" min="7" max="7"/>
    <col width="6.4" customWidth="1" min="8" max="8"/>
    <col width="6.4" customWidth="1" min="9" max="9"/>
    <col width="6.4" customWidth="1" min="10" max="10"/>
    <col width="6.4" customWidth="1" min="11" max="11"/>
    <col width="6.4" customWidth="1" min="12" max="12"/>
    <col width="6.4" customWidth="1" min="13" max="13"/>
    <col width="6.4" customWidth="1" min="14" max="14"/>
    <col width="6.4" customWidth="1" min="15" max="15"/>
    <col width="6.4" customWidth="1" min="16" max="16"/>
    <col width="6.4" customWidth="1" min="17" max="17"/>
    <col width="6.4" customWidth="1" min="18" max="18"/>
    <col width="6.4" customWidth="1" min="19" max="19"/>
    <col width="6.4" customWidth="1" min="20" max="20"/>
    <col width="6.4" customWidth="1" min="21" max="21"/>
    <col width="6.4" customWidth="1" min="22" max="22"/>
    <col width="6.4" customWidth="1" min="23" max="23"/>
    <col width="6.4" customWidth="1" min="24" max="24"/>
    <col width="6.4" customWidth="1" min="25" max="25"/>
    <col width="6.4" customWidth="1" min="26" max="26"/>
    <col width="6.4" customWidth="1" min="27" max="27"/>
    <col width="6.4" customWidth="1" min="28" max="28"/>
    <col width="6.4" customWidth="1" min="29" max="29"/>
    <col width="8" customWidth="1" min="30" max="30"/>
  </cols>
  <sheetData>
    <row r="1" ht="24" customHeight="1">
      <c r="A1" s="1" t="inlineStr">
        <is>
          <t>NMH ENGINEERING S.A.S.</t>
        </is>
      </c>
      <c r="B1" s="2" t="inlineStr">
        <is>
          <t>CRONOGRAMA DE OBRA — EJECUTADO</t>
        </is>
      </c>
    </row>
    <row r="2">
      <c r="A2" s="3" t="inlineStr">
        <is>
          <t>PROYECTO</t>
        </is>
      </c>
      <c r="B2" s="4" t="inlineStr">
        <is>
          <t>MUNICIPIO DE BARANOA — ATLÁNTICO</t>
        </is>
      </c>
    </row>
    <row r="3">
      <c r="A3" s="3" t="inlineStr">
        <is>
          <t>FECHA DE CORTE</t>
        </is>
      </c>
      <c r="B3" s="5" t="n"/>
      <c r="E3" s="3" t="inlineStr">
        <is>
          <t>META DE AVANCE (% DEL ALCANCE TOTAL)</t>
        </is>
      </c>
      <c r="O3" s="6" t="n">
        <v>0.45</v>
      </c>
    </row>
    <row r="4" ht="34" customHeight="1">
      <c r="A4" s="3" t="inlineStr">
        <is>
          <t>CÓMO SE LLENA</t>
        </is>
      </c>
      <c r="B4" s="7" t="inlineStr">
        <is>
          <t>Número = avance ejecutado del ítem en esa semana (25 = 25%). P = semana programada. Fecha de corte vacía = última semana con avance. Guarde el archivo con el mismo nombre y súbalo a GitHub: la página se actualiza sola.</t>
        </is>
      </c>
      <c r="E4" s="3" t="inlineStr">
        <is>
          <t>FECHA DE LA META</t>
        </is>
      </c>
      <c r="O4" s="8" t="n">
        <v>46333</v>
      </c>
    </row>
    <row r="5">
      <c r="B5" s="9" t="inlineStr">
        <is>
          <t>SEMANA DEL (LUNES)</t>
        </is>
      </c>
      <c r="E5" s="10" t="n">
        <v>46216</v>
      </c>
      <c r="F5" s="10" t="n">
        <v>46223</v>
      </c>
      <c r="G5" s="10" t="n">
        <v>46230</v>
      </c>
      <c r="H5" s="10" t="n">
        <v>46237</v>
      </c>
      <c r="I5" s="10" t="n">
        <v>46244</v>
      </c>
      <c r="J5" s="10" t="n">
        <v>46251</v>
      </c>
      <c r="K5" s="10" t="n">
        <v>46258</v>
      </c>
      <c r="L5" s="10" t="n">
        <v>46265</v>
      </c>
      <c r="M5" s="10" t="n">
        <v>46272</v>
      </c>
      <c r="N5" s="10" t="n">
        <v>46279</v>
      </c>
      <c r="O5" s="10" t="n">
        <v>46286</v>
      </c>
      <c r="P5" s="10" t="n">
        <v>46293</v>
      </c>
      <c r="Q5" s="10" t="n">
        <v>46300</v>
      </c>
      <c r="R5" s="10" t="n">
        <v>46307</v>
      </c>
      <c r="S5" s="10" t="n">
        <v>46314</v>
      </c>
      <c r="T5" s="10" t="n">
        <v>46321</v>
      </c>
      <c r="U5" s="10" t="n">
        <v>46328</v>
      </c>
      <c r="V5" s="10" t="n">
        <v>46335</v>
      </c>
      <c r="W5" s="10" t="n">
        <v>46342</v>
      </c>
      <c r="X5" s="10" t="n">
        <v>46349</v>
      </c>
      <c r="Y5" s="10" t="n">
        <v>46356</v>
      </c>
      <c r="Z5" s="10" t="n">
        <v>46363</v>
      </c>
      <c r="AA5" s="10" t="n">
        <v>46370</v>
      </c>
      <c r="AB5" s="10" t="n">
        <v>46377</v>
      </c>
      <c r="AC5" s="10" t="n">
        <v>46384</v>
      </c>
    </row>
    <row r="6" ht="26" customHeight="1">
      <c r="A6" s="11" t="inlineStr">
        <is>
          <t>ÍTEM</t>
        </is>
      </c>
      <c r="B6" s="11" t="inlineStr">
        <is>
          <t>ACTIVIDAD</t>
        </is>
      </c>
      <c r="C6" s="11" t="inlineStr">
        <is>
          <t>% INC.</t>
        </is>
      </c>
      <c r="D6" s="11" t="inlineStr">
        <is>
          <t>DUR (días)</t>
        </is>
      </c>
      <c r="E6" s="11" t="inlineStr">
        <is>
          <t>S1</t>
        </is>
      </c>
      <c r="F6" s="11" t="inlineStr">
        <is>
          <t>S2</t>
        </is>
      </c>
      <c r="G6" s="11" t="inlineStr">
        <is>
          <t>S3</t>
        </is>
      </c>
      <c r="H6" s="11" t="inlineStr">
        <is>
          <t>S4</t>
        </is>
      </c>
      <c r="I6" s="11" t="inlineStr">
        <is>
          <t>S5</t>
        </is>
      </c>
      <c r="J6" s="11" t="inlineStr">
        <is>
          <t>S6</t>
        </is>
      </c>
      <c r="K6" s="11" t="inlineStr">
        <is>
          <t>S7</t>
        </is>
      </c>
      <c r="L6" s="11" t="inlineStr">
        <is>
          <t>S8</t>
        </is>
      </c>
      <c r="M6" s="11" t="inlineStr">
        <is>
          <t>S9</t>
        </is>
      </c>
      <c r="N6" s="11" t="inlineStr">
        <is>
          <t>S10</t>
        </is>
      </c>
      <c r="O6" s="11" t="inlineStr">
        <is>
          <t>S11</t>
        </is>
      </c>
      <c r="P6" s="11" t="inlineStr">
        <is>
          <t>S12</t>
        </is>
      </c>
      <c r="Q6" s="11" t="inlineStr">
        <is>
          <t>S13</t>
        </is>
      </c>
      <c r="R6" s="11" t="inlineStr">
        <is>
          <t>S14</t>
        </is>
      </c>
      <c r="S6" s="11" t="inlineStr">
        <is>
          <t>S15</t>
        </is>
      </c>
      <c r="T6" s="11" t="inlineStr">
        <is>
          <t>S16</t>
        </is>
      </c>
      <c r="U6" s="11" t="inlineStr">
        <is>
          <t>S17</t>
        </is>
      </c>
      <c r="V6" s="11" t="inlineStr">
        <is>
          <t>S18</t>
        </is>
      </c>
      <c r="W6" s="11" t="inlineStr">
        <is>
          <t>S19</t>
        </is>
      </c>
      <c r="X6" s="11" t="inlineStr">
        <is>
          <t>S20</t>
        </is>
      </c>
      <c r="Y6" s="11" t="inlineStr">
        <is>
          <t>S21</t>
        </is>
      </c>
      <c r="Z6" s="11" t="inlineStr">
        <is>
          <t>S22</t>
        </is>
      </c>
      <c r="AA6" s="11" t="inlineStr">
        <is>
          <t>S23</t>
        </is>
      </c>
      <c r="AB6" s="11" t="inlineStr">
        <is>
          <t>S24</t>
        </is>
      </c>
      <c r="AC6" s="11" t="inlineStr">
        <is>
          <t>S25</t>
        </is>
      </c>
      <c r="AD6" s="11" t="inlineStr">
        <is>
          <t>Σ EJEC.</t>
        </is>
      </c>
    </row>
    <row r="7">
      <c r="A7" s="12" t="inlineStr">
        <is>
          <t>1</t>
        </is>
      </c>
      <c r="B7" s="13" t="inlineStr">
        <is>
          <t>OBRAS PRELIMINARES</t>
        </is>
      </c>
      <c r="C7" s="14">
        <f>SUM(C8:C8)</f>
        <v/>
      </c>
      <c r="D7" s="15" t="n"/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  <c r="AA7" s="16" t="n"/>
      <c r="AB7" s="16" t="n"/>
      <c r="AC7" s="16" t="n"/>
      <c r="AD7" s="16" t="n"/>
    </row>
    <row r="8">
      <c r="A8" s="17" t="inlineStr">
        <is>
          <t>1.1</t>
        </is>
      </c>
      <c r="B8" s="18" t="inlineStr">
        <is>
          <t>TRAZADO, LOCALIZACIÓN Y REPLANTEO GENERAL DEL PROYECTO.</t>
        </is>
      </c>
      <c r="C8" s="19" t="n">
        <v>0.004764623131548269</v>
      </c>
      <c r="D8" s="20" t="n">
        <v>10</v>
      </c>
      <c r="E8" s="21" t="inlineStr">
        <is>
          <t>P</t>
        </is>
      </c>
      <c r="F8" s="21" t="inlineStr">
        <is>
          <t>P</t>
        </is>
      </c>
      <c r="G8" s="21" t="n"/>
      <c r="H8" s="21" t="n">
        <v>1</v>
      </c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21" t="n"/>
      <c r="AD8" s="22">
        <f>SUM(E8:AC8)</f>
        <v/>
      </c>
    </row>
    <row r="9">
      <c r="A9" s="12" t="inlineStr">
        <is>
          <t>2</t>
        </is>
      </c>
      <c r="B9" s="13" t="inlineStr">
        <is>
          <t>CORTES Y RELLENOS</t>
        </is>
      </c>
      <c r="C9" s="14">
        <f>SUM(C10:C14)</f>
        <v/>
      </c>
      <c r="D9" s="15" t="n"/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  <c r="AA9" s="16" t="n"/>
      <c r="AB9" s="16" t="n"/>
      <c r="AC9" s="16" t="n"/>
      <c r="AD9" s="16" t="n"/>
    </row>
    <row r="10">
      <c r="A10" s="17" t="inlineStr">
        <is>
          <t>2.1</t>
        </is>
      </c>
      <c r="B10" s="18" t="inlineStr">
        <is>
          <t>EXCAVACIÓN MANUAL EN MATERIAL COMÚN SIN CLASIFICACIÓN.</t>
        </is>
      </c>
      <c r="C10" s="19" t="n">
        <v>0.005463822616679619</v>
      </c>
      <c r="D10" s="20" t="n">
        <v>19</v>
      </c>
      <c r="E10" s="21" t="n"/>
      <c r="F10" s="21" t="inlineStr">
        <is>
          <t>P</t>
        </is>
      </c>
      <c r="G10" s="21" t="inlineStr">
        <is>
          <t>P</t>
        </is>
      </c>
      <c r="H10" s="21" t="inlineStr">
        <is>
          <t>P</t>
        </is>
      </c>
      <c r="I10" s="21" t="inlineStr">
        <is>
          <t>P</t>
        </is>
      </c>
      <c r="J10" s="21" t="n">
        <v>0.6</v>
      </c>
      <c r="K10" s="21" t="n">
        <v>0.15</v>
      </c>
      <c r="L10" s="21" t="n">
        <v>0.25</v>
      </c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21" t="n"/>
      <c r="AD10" s="22">
        <f>SUM(E10:AC10)</f>
        <v/>
      </c>
    </row>
    <row r="11">
      <c r="A11" s="17" t="inlineStr">
        <is>
          <t>2.2</t>
        </is>
      </c>
      <c r="B11" s="18" t="inlineStr">
        <is>
          <t>CONSTRUCCIÓN DE SUBBASE GRANULAR PARA MEJORAMIENTO DE ESTRUCTURA DE PAVIMENTO ASFÁLTICO EN FRÍO DE PISTA DE TROTE.</t>
        </is>
      </c>
      <c r="C11" s="19" t="n">
        <v>0.003569051110752719</v>
      </c>
      <c r="D11" s="20" t="n">
        <v>6</v>
      </c>
      <c r="E11" s="21" t="n"/>
      <c r="F11" s="21" t="inlineStr">
        <is>
          <t>P</t>
        </is>
      </c>
      <c r="G11" s="21" t="inlineStr">
        <is>
          <t>P</t>
        </is>
      </c>
      <c r="H11" s="21" t="n">
        <v>0.5</v>
      </c>
      <c r="I11" s="21" t="n">
        <v>0.5</v>
      </c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21" t="n"/>
      <c r="AD11" s="22">
        <f>SUM(E11:AC11)</f>
        <v/>
      </c>
    </row>
    <row r="12">
      <c r="A12" s="17" t="inlineStr">
        <is>
          <t>2.3</t>
        </is>
      </c>
      <c r="B12" s="18" t="inlineStr">
        <is>
          <t>RELLENO COMPACTADO CON MATERIAL SELECCIONADO PROVENIENTE DE EXCAVACIONES DE CIMENTACIÓN.</t>
        </is>
      </c>
      <c r="C12" s="19" t="n">
        <v>0.003769296176976699</v>
      </c>
      <c r="D12" s="20" t="n">
        <v>13</v>
      </c>
      <c r="E12" s="21" t="n"/>
      <c r="F12" s="21" t="inlineStr">
        <is>
          <t>P</t>
        </is>
      </c>
      <c r="G12" s="21" t="inlineStr">
        <is>
          <t>P</t>
        </is>
      </c>
      <c r="H12" s="21" t="inlineStr">
        <is>
          <t>P</t>
        </is>
      </c>
      <c r="I12" s="21" t="inlineStr">
        <is>
          <t>P</t>
        </is>
      </c>
      <c r="J12" s="21" t="n"/>
      <c r="K12" s="21" t="n"/>
      <c r="L12" s="21" t="n"/>
      <c r="M12" s="21" t="n"/>
      <c r="N12" s="21" t="n">
        <v>0.5</v>
      </c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21" t="n"/>
      <c r="AD12" s="22">
        <f>SUM(E12:AC12)</f>
        <v/>
      </c>
    </row>
    <row r="13">
      <c r="A13" s="17" t="inlineStr">
        <is>
          <t>2.4</t>
        </is>
      </c>
      <c r="B13" s="18" t="inlineStr">
        <is>
          <t>SUMINISTRO E INSTALACION BASE GRANULAR PARA SOPORTE DE PAVIMENTO ASFÁLTICO EN FRÍO DE PISTA DE TROTE.</t>
        </is>
      </c>
      <c r="C13" s="19" t="n">
        <v>0.004018205956284417</v>
      </c>
      <c r="D13" s="20" t="n">
        <v>7</v>
      </c>
      <c r="E13" s="21" t="n"/>
      <c r="F13" s="21" t="inlineStr">
        <is>
          <t>P</t>
        </is>
      </c>
      <c r="G13" s="21" t="inlineStr">
        <is>
          <t>P</t>
        </is>
      </c>
      <c r="H13" s="21" t="n"/>
      <c r="I13" s="21" t="n"/>
      <c r="J13" s="21" t="n"/>
      <c r="K13" s="21" t="n"/>
      <c r="L13" s="21" t="n"/>
      <c r="M13" s="21" t="n">
        <v>1</v>
      </c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21" t="n"/>
      <c r="AD13" s="22">
        <f>SUM(E13:AC13)</f>
        <v/>
      </c>
    </row>
    <row r="14">
      <c r="A14" s="17" t="inlineStr">
        <is>
          <t>2.5</t>
        </is>
      </c>
      <c r="B14" s="18" t="inlineStr">
        <is>
          <t>RELLENO COMPACTADO CON MATERIAL SELECCIONADO PARA AREA DE ESPARCIMEINTO</t>
        </is>
      </c>
      <c r="C14" s="19" t="n">
        <v>0.01587631693883135</v>
      </c>
      <c r="D14" s="20" t="n">
        <v>31</v>
      </c>
      <c r="E14" s="21" t="n"/>
      <c r="F14" s="21" t="inlineStr">
        <is>
          <t>P</t>
        </is>
      </c>
      <c r="G14" s="21" t="inlineStr">
        <is>
          <t>P</t>
        </is>
      </c>
      <c r="H14" s="21" t="n">
        <v>0.5</v>
      </c>
      <c r="I14" s="21" t="n">
        <v>0.5</v>
      </c>
      <c r="J14" s="21" t="inlineStr">
        <is>
          <t>P</t>
        </is>
      </c>
      <c r="K14" s="21" t="inlineStr">
        <is>
          <t>P</t>
        </is>
      </c>
      <c r="L14" s="21" t="inlineStr">
        <is>
          <t>P</t>
        </is>
      </c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21" t="n"/>
      <c r="AD14" s="22">
        <f>SUM(E14:AC14)</f>
        <v/>
      </c>
    </row>
    <row r="15">
      <c r="A15" s="12" t="inlineStr">
        <is>
          <t>3</t>
        </is>
      </c>
      <c r="B15" s="13" t="inlineStr">
        <is>
          <t>OBRAS ESTRUCTURALES</t>
        </is>
      </c>
      <c r="C15" s="14">
        <f>SUM(C16:C32)</f>
        <v/>
      </c>
      <c r="D15" s="15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  <c r="AA15" s="16" t="n"/>
      <c r="AB15" s="16" t="n"/>
      <c r="AC15" s="16" t="n"/>
      <c r="AD15" s="16" t="n"/>
    </row>
    <row r="16">
      <c r="A16" s="17" t="inlineStr">
        <is>
          <t>3.1</t>
        </is>
      </c>
      <c r="B16" s="18" t="inlineStr">
        <is>
          <t>SUMINISTRO E INSTALACIÓN DE CONCRETO DE 2.000 PSI ELABORADO EN OBRA PARA CAPAS DE LIMPIEZA (SOLADOS).</t>
        </is>
      </c>
      <c r="C16" s="19" t="n">
        <v>0.004706601541899991</v>
      </c>
      <c r="D16" s="20" t="n">
        <v>11</v>
      </c>
      <c r="E16" s="21" t="n"/>
      <c r="F16" s="21" t="n"/>
      <c r="G16" s="21" t="n"/>
      <c r="H16" s="21" t="n"/>
      <c r="I16" s="21" t="n"/>
      <c r="J16" s="21" t="inlineStr">
        <is>
          <t>P</t>
        </is>
      </c>
      <c r="K16" s="21" t="n">
        <v>0.75</v>
      </c>
      <c r="L16" s="21" t="n">
        <v>0.25</v>
      </c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21" t="n"/>
      <c r="AD16" s="22">
        <f>SUM(E16:AC16)</f>
        <v/>
      </c>
    </row>
    <row r="17">
      <c r="A17" s="17" t="inlineStr">
        <is>
          <t>3.2</t>
        </is>
      </c>
      <c r="B17" s="18" t="inlineStr">
        <is>
          <t>SUMINISTRO E INSTALACIÓN DE ZAPATAS AISLADAS EN CONCRETO DE 3.000 PSI FABRICADO EN OBRA.</t>
        </is>
      </c>
      <c r="C17" s="19" t="n">
        <v>0.02438184102130481</v>
      </c>
      <c r="D17" s="20" t="n">
        <v>11</v>
      </c>
      <c r="E17" s="21" t="n"/>
      <c r="F17" s="21" t="n"/>
      <c r="G17" s="21" t="n"/>
      <c r="H17" s="21" t="n"/>
      <c r="I17" s="21" t="n"/>
      <c r="J17" s="21" t="n"/>
      <c r="K17" s="21" t="n"/>
      <c r="L17" s="21" t="n">
        <v>0.59</v>
      </c>
      <c r="M17" s="21" t="n">
        <v>0.41</v>
      </c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21" t="n"/>
      <c r="AD17" s="22">
        <f>SUM(E17:AC17)</f>
        <v/>
      </c>
    </row>
    <row r="18">
      <c r="A18" s="17" t="inlineStr">
        <is>
          <t>3.3</t>
        </is>
      </c>
      <c r="B18" s="18" t="inlineStr">
        <is>
          <t>SUMINISTRO E INSTALACIÓN DE VIGAS DE AMARRE DE CIMENTACIÓN EN CONCRETO DE 3.000 PSI.</t>
        </is>
      </c>
      <c r="C18" s="19" t="n">
        <v>0.01595133792294987</v>
      </c>
      <c r="D18" s="20" t="n">
        <v>11</v>
      </c>
      <c r="E18" s="21" t="n"/>
      <c r="F18" s="21" t="n"/>
      <c r="G18" s="21" t="n"/>
      <c r="H18" s="21" t="n"/>
      <c r="I18" s="21" t="n"/>
      <c r="J18" s="21" t="n"/>
      <c r="K18" s="21" t="n"/>
      <c r="L18" s="21" t="n"/>
      <c r="M18" s="21" t="n"/>
      <c r="N18" s="21" t="n">
        <v>0.55</v>
      </c>
      <c r="O18" s="21" t="n">
        <v>0.45</v>
      </c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21" t="n"/>
      <c r="AD18" s="22">
        <f>SUM(E18:AC18)</f>
        <v/>
      </c>
    </row>
    <row r="19">
      <c r="A19" s="17" t="inlineStr">
        <is>
          <t>3.4</t>
        </is>
      </c>
      <c r="B19" s="18" t="inlineStr">
        <is>
          <t>SUMINISTRO E INSTALACIÓN DE COLUMNAS EN CONCRETO DE 3.000 PSI ELABORADO EN SITIO.</t>
        </is>
      </c>
      <c r="C19" s="19" t="n">
        <v>0.0181764191719516</v>
      </c>
      <c r="D19" s="20" t="n">
        <v>12</v>
      </c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inlineStr">
        <is>
          <t>P</t>
        </is>
      </c>
      <c r="P19" s="21" t="n">
        <v>0.29</v>
      </c>
      <c r="Q19" s="21" t="inlineStr">
        <is>
          <t>P</t>
        </is>
      </c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21" t="n"/>
      <c r="AD19" s="22">
        <f>SUM(E19:AC19)</f>
        <v/>
      </c>
    </row>
    <row r="20">
      <c r="A20" s="17" t="inlineStr">
        <is>
          <t>3.5</t>
        </is>
      </c>
      <c r="B20" s="18" t="inlineStr">
        <is>
          <t>SUMINISTRO E INSTALACIÓN DE VIGAS AÉREAS EN CONCRETO DE 3.000 PSI FABRICADO EN OBRA.</t>
        </is>
      </c>
      <c r="C20" s="19" t="n">
        <v>0.02491848766416463</v>
      </c>
      <c r="D20" s="20" t="n">
        <v>13</v>
      </c>
      <c r="E20" s="21" t="n"/>
      <c r="F20" s="21" t="n"/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inlineStr">
        <is>
          <t>P</t>
        </is>
      </c>
      <c r="S20" s="21" t="inlineStr">
        <is>
          <t>P</t>
        </is>
      </c>
      <c r="T20" s="21" t="inlineStr">
        <is>
          <t>P</t>
        </is>
      </c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21" t="n"/>
      <c r="AD20" s="22">
        <f>SUM(E20:AC20)</f>
        <v/>
      </c>
    </row>
    <row r="21">
      <c r="A21" s="17" t="inlineStr">
        <is>
          <t>3.6</t>
        </is>
      </c>
      <c r="B21" s="18" t="inlineStr">
        <is>
          <t>CORTE, DOBLADO Y COLOCACIÓN DE ACERO CORRUGADO PDR-60 FY=420 MPA PARA ZAPATAS.</t>
        </is>
      </c>
      <c r="C21" s="19" t="n">
        <v>0.007954096397471636</v>
      </c>
      <c r="D21" s="20" t="n">
        <v>11</v>
      </c>
      <c r="E21" s="21" t="n"/>
      <c r="F21" s="21" t="n"/>
      <c r="G21" s="21" t="n"/>
      <c r="H21" s="21" t="n"/>
      <c r="I21" s="21" t="n"/>
      <c r="J21" s="21" t="n"/>
      <c r="K21" s="21" t="n">
        <v>1</v>
      </c>
      <c r="L21" s="21" t="inlineStr">
        <is>
          <t>P</t>
        </is>
      </c>
      <c r="M21" s="21" t="inlineStr">
        <is>
          <t>P</t>
        </is>
      </c>
      <c r="N21" s="21" t="n"/>
      <c r="O21" s="21" t="n"/>
      <c r="P21" s="21" t="n"/>
      <c r="Q21" s="21" t="n"/>
      <c r="R21" s="21" t="n"/>
      <c r="S21" s="21" t="n"/>
      <c r="T21" s="21" t="n"/>
      <c r="U21" s="21" t="n"/>
      <c r="V21" s="21" t="n"/>
      <c r="W21" s="21" t="n"/>
      <c r="X21" s="21" t="n"/>
      <c r="Y21" s="21" t="n"/>
      <c r="Z21" s="21" t="n"/>
      <c r="AA21" s="21" t="n"/>
      <c r="AB21" s="21" t="n"/>
      <c r="AC21" s="21" t="n"/>
      <c r="AD21" s="22">
        <f>SUM(E21:AC21)</f>
        <v/>
      </c>
    </row>
    <row r="22">
      <c r="A22" s="17" t="inlineStr">
        <is>
          <t>3.7</t>
        </is>
      </c>
      <c r="B22" s="18" t="inlineStr">
        <is>
          <t>CORTE, DOBLADO Y COLOCACIÓN DE ACERO CORRUGADO PDR-60 FY=420 MPA PARA VIGAS DE CIMENTACIÓN.</t>
        </is>
      </c>
      <c r="C22" s="19" t="n">
        <v>0.01570309420054058</v>
      </c>
      <c r="D22" s="20" t="n">
        <v>15</v>
      </c>
      <c r="E22" s="21" t="n"/>
      <c r="F22" s="21" t="n"/>
      <c r="G22" s="21" t="n"/>
      <c r="H22" s="21" t="n"/>
      <c r="I22" s="21" t="n"/>
      <c r="J22" s="21" t="n"/>
      <c r="K22" s="21" t="n"/>
      <c r="L22" s="21" t="n"/>
      <c r="M22" s="21" t="n">
        <v>0.4</v>
      </c>
      <c r="N22" s="21" t="n">
        <v>0.6</v>
      </c>
      <c r="O22" s="21" t="inlineStr">
        <is>
          <t>P</t>
        </is>
      </c>
      <c r="P22" s="21" t="inlineStr">
        <is>
          <t>P</t>
        </is>
      </c>
      <c r="Q22" s="21" t="n"/>
      <c r="R22" s="21" t="n"/>
      <c r="S22" s="21" t="n"/>
      <c r="T22" s="21" t="n"/>
      <c r="U22" s="21" t="n"/>
      <c r="V22" s="21" t="n"/>
      <c r="W22" s="21" t="n"/>
      <c r="X22" s="21" t="n"/>
      <c r="Y22" s="21" t="n"/>
      <c r="Z22" s="21" t="n"/>
      <c r="AA22" s="21" t="n"/>
      <c r="AB22" s="21" t="n"/>
      <c r="AC22" s="21" t="n"/>
      <c r="AD22" s="22">
        <f>SUM(E22:AC22)</f>
        <v/>
      </c>
    </row>
    <row r="23">
      <c r="A23" s="17" t="inlineStr">
        <is>
          <t>3.8</t>
        </is>
      </c>
      <c r="B23" s="18" t="inlineStr">
        <is>
          <t>CORTE, DOBLADO Y COLOCACIÓN DE ACERO CORRUGADO PDR-60 FY=420 MPA PARA COLUMNAS.</t>
        </is>
      </c>
      <c r="C23" s="19" t="n">
        <v>0.01564902275292532</v>
      </c>
      <c r="D23" s="20" t="n">
        <v>15</v>
      </c>
      <c r="E23" s="21" t="n"/>
      <c r="F23" s="21" t="n"/>
      <c r="G23" s="21" t="n"/>
      <c r="H23" s="21" t="n"/>
      <c r="I23" s="21" t="n"/>
      <c r="J23" s="21" t="n"/>
      <c r="K23" s="21" t="n">
        <v>0.58</v>
      </c>
      <c r="L23" s="21" t="n">
        <v>0.42</v>
      </c>
      <c r="M23" s="21" t="n"/>
      <c r="N23" s="21" t="n"/>
      <c r="O23" s="21" t="inlineStr">
        <is>
          <t>P</t>
        </is>
      </c>
      <c r="P23" s="21" t="inlineStr">
        <is>
          <t>P</t>
        </is>
      </c>
      <c r="Q23" s="21" t="inlineStr">
        <is>
          <t>P</t>
        </is>
      </c>
      <c r="R23" s="21" t="inlineStr">
        <is>
          <t>P</t>
        </is>
      </c>
      <c r="S23" s="21" t="n"/>
      <c r="T23" s="21" t="n"/>
      <c r="U23" s="21" t="n"/>
      <c r="V23" s="21" t="n"/>
      <c r="W23" s="21" t="n"/>
      <c r="X23" s="21" t="n"/>
      <c r="Y23" s="21" t="n"/>
      <c r="Z23" s="21" t="n"/>
      <c r="AA23" s="21" t="n"/>
      <c r="AB23" s="21" t="n"/>
      <c r="AC23" s="21" t="n"/>
      <c r="AD23" s="22">
        <f>SUM(E23:AC23)</f>
        <v/>
      </c>
    </row>
    <row r="24">
      <c r="A24" s="17" t="inlineStr">
        <is>
          <t>3.9</t>
        </is>
      </c>
      <c r="B24" s="18" t="inlineStr">
        <is>
          <t>CORTE, DOBLADO Y COLOCACIÓN DE ACERO CORRUGADO PDR-60 FY=420 MPA PARA VIGAS AÉREAS.</t>
        </is>
      </c>
      <c r="C24" s="19" t="n">
        <v>0.01195351898832411</v>
      </c>
      <c r="D24" s="20" t="n">
        <v>11</v>
      </c>
      <c r="E24" s="21" t="n"/>
      <c r="F24" s="21" t="n"/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>
        <v>0.73</v>
      </c>
      <c r="Q24" s="21" t="n"/>
      <c r="R24" s="21" t="inlineStr">
        <is>
          <t>P</t>
        </is>
      </c>
      <c r="S24" s="21" t="inlineStr">
        <is>
          <t>P</t>
        </is>
      </c>
      <c r="T24" s="21" t="n"/>
      <c r="U24" s="21" t="n"/>
      <c r="V24" s="21" t="n"/>
      <c r="W24" s="21" t="n"/>
      <c r="X24" s="21" t="n"/>
      <c r="Y24" s="21" t="n"/>
      <c r="Z24" s="21" t="n"/>
      <c r="AA24" s="21" t="n"/>
      <c r="AB24" s="21" t="n"/>
      <c r="AC24" s="21" t="n"/>
      <c r="AD24" s="22">
        <f>SUM(E24:AC24)</f>
        <v/>
      </c>
    </row>
    <row r="25">
      <c r="A25" s="17" t="inlineStr">
        <is>
          <t>3.10</t>
        </is>
      </c>
      <c r="B25" s="18" t="inlineStr">
        <is>
          <t>SUMINISTRO E INSTALACIÓN DE PLACA DE TANQUE EN CONCRETO DE 7,5 CM DE ESPESOR REFORZADA CON MALLA ELECTROSOLDADA XX-295.</t>
        </is>
      </c>
      <c r="C25" s="19" t="n">
        <v>0.0001238018892577521</v>
      </c>
      <c r="D25" s="20" t="n">
        <v>1</v>
      </c>
      <c r="E25" s="21" t="n"/>
      <c r="F25" s="21" t="n"/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21" t="n"/>
      <c r="S25" s="21" t="n"/>
      <c r="T25" s="21" t="inlineStr">
        <is>
          <t>P</t>
        </is>
      </c>
      <c r="U25" s="21" t="n"/>
      <c r="V25" s="21" t="n"/>
      <c r="W25" s="21" t="n"/>
      <c r="X25" s="21" t="n"/>
      <c r="Y25" s="21" t="n"/>
      <c r="Z25" s="21" t="n"/>
      <c r="AA25" s="21" t="n"/>
      <c r="AB25" s="21" t="n"/>
      <c r="AC25" s="21" t="n"/>
      <c r="AD25" s="22">
        <f>SUM(E25:AC25)</f>
        <v/>
      </c>
    </row>
    <row r="26">
      <c r="A26" s="17" t="inlineStr">
        <is>
          <t>3.11</t>
        </is>
      </c>
      <c r="B26" s="18" t="inlineStr">
        <is>
          <t>SUMINISTRO E INSTALACIÓN DE CONTRAPISO EN CONCRETO DE 4.000 PSI DE 15 CM DE ESPESOR CON MALLA ELECTROSOLDADA XX-295.</t>
        </is>
      </c>
      <c r="C26" s="19" t="n">
        <v>0.0468879429564814</v>
      </c>
      <c r="D26" s="20" t="n">
        <v>12</v>
      </c>
      <c r="E26" s="21" t="n"/>
      <c r="F26" s="21" t="n"/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21" t="inlineStr">
        <is>
          <t>P</t>
        </is>
      </c>
      <c r="S26" s="21" t="inlineStr">
        <is>
          <t>P</t>
        </is>
      </c>
      <c r="T26" s="21" t="inlineStr">
        <is>
          <t>P</t>
        </is>
      </c>
      <c r="U26" s="21" t="n"/>
      <c r="V26" s="21" t="n"/>
      <c r="W26" s="21" t="n"/>
      <c r="X26" s="21" t="n"/>
      <c r="Y26" s="21" t="n"/>
      <c r="Z26" s="21" t="n"/>
      <c r="AA26" s="21" t="n"/>
      <c r="AB26" s="21" t="n"/>
      <c r="AC26" s="21" t="n"/>
      <c r="AD26" s="22">
        <f>SUM(E26:AC26)</f>
        <v/>
      </c>
    </row>
    <row r="27">
      <c r="A27" s="17" t="inlineStr">
        <is>
          <t>3.12</t>
        </is>
      </c>
      <c r="B27" s="18" t="inlineStr">
        <is>
          <t>SUMINISTRO E INSTALACIÓN DE VIGA DE CONFINAMIENTO PARA ADOQUÍN CON REFUERZO INCLUIDO.</t>
        </is>
      </c>
      <c r="C27" s="19" t="n">
        <v>0.009691385272795524</v>
      </c>
      <c r="D27" s="20" t="n">
        <v>9</v>
      </c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1" t="n"/>
      <c r="S27" s="21" t="n"/>
      <c r="T27" s="21" t="inlineStr">
        <is>
          <t>P</t>
        </is>
      </c>
      <c r="U27" s="21" t="inlineStr">
        <is>
          <t>P</t>
        </is>
      </c>
      <c r="V27" s="21" t="inlineStr">
        <is>
          <t>P</t>
        </is>
      </c>
      <c r="W27" s="21" t="n"/>
      <c r="X27" s="21" t="n"/>
      <c r="Y27" s="21" t="n"/>
      <c r="Z27" s="21" t="n"/>
      <c r="AA27" s="21" t="n"/>
      <c r="AB27" s="21" t="n"/>
      <c r="AC27" s="21" t="n"/>
      <c r="AD27" s="22">
        <f>SUM(E27:AC27)</f>
        <v/>
      </c>
    </row>
    <row r="28">
      <c r="A28" s="17" t="inlineStr">
        <is>
          <t>3.13</t>
        </is>
      </c>
      <c r="B28" s="18" t="inlineStr">
        <is>
          <t>SUMINISTRO E INSTALACIÓN DE VIGA DE CONFINAMIENTO PARA PAVIMENTO ASFÁLTICO CON REFUERZO INCLUIDO.</t>
        </is>
      </c>
      <c r="C28" s="19" t="n">
        <v>0.02927893301622543</v>
      </c>
      <c r="D28" s="20" t="n">
        <v>12</v>
      </c>
      <c r="E28" s="21" t="n"/>
      <c r="F28" s="21" t="n"/>
      <c r="G28" s="21" t="n"/>
      <c r="H28" s="21" t="inlineStr">
        <is>
          <t>P</t>
        </is>
      </c>
      <c r="I28" s="21" t="inlineStr">
        <is>
          <t>P</t>
        </is>
      </c>
      <c r="J28" s="21" t="inlineStr">
        <is>
          <t>P</t>
        </is>
      </c>
      <c r="K28" s="21" t="n"/>
      <c r="L28" s="21" t="n"/>
      <c r="M28" s="21" t="n"/>
      <c r="N28" s="21" t="n"/>
      <c r="O28" s="21" t="n"/>
      <c r="P28" s="21" t="n"/>
      <c r="Q28" s="21" t="n"/>
      <c r="R28" s="21" t="n"/>
      <c r="S28" s="21" t="n"/>
      <c r="T28" s="21" t="n"/>
      <c r="U28" s="21" t="n"/>
      <c r="V28" s="21" t="n"/>
      <c r="W28" s="21" t="n"/>
      <c r="X28" s="21" t="n"/>
      <c r="Y28" s="21" t="n"/>
      <c r="Z28" s="21" t="n"/>
      <c r="AA28" s="21" t="n"/>
      <c r="AB28" s="21" t="n"/>
      <c r="AC28" s="21" t="n"/>
      <c r="AD28" s="22">
        <f>SUM(E28:AC28)</f>
        <v/>
      </c>
    </row>
    <row r="29">
      <c r="A29" s="17" t="inlineStr">
        <is>
          <t>3.14</t>
        </is>
      </c>
      <c r="B29" s="18" t="inlineStr">
        <is>
          <t>SUMINISTRO E INSTALACIÓN DE PAVIMENTO PEATONAL EN ADOQUÍN CON CAMA DE ARENA, SELLO, COMPACTACIÓN Y LIMPIEZA FINAL.</t>
        </is>
      </c>
      <c r="C29" s="19" t="n">
        <v>0.01818723102992952</v>
      </c>
      <c r="D29" s="20" t="n">
        <v>12</v>
      </c>
      <c r="E29" s="21" t="n"/>
      <c r="F29" s="21" t="n"/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21" t="n"/>
      <c r="S29" s="21" t="n"/>
      <c r="T29" s="21" t="n"/>
      <c r="U29" s="21" t="n"/>
      <c r="V29" s="21" t="inlineStr">
        <is>
          <t>P</t>
        </is>
      </c>
      <c r="W29" s="21" t="inlineStr">
        <is>
          <t>P</t>
        </is>
      </c>
      <c r="X29" s="21" t="inlineStr">
        <is>
          <t>P</t>
        </is>
      </c>
      <c r="Y29" s="21" t="n"/>
      <c r="Z29" s="21" t="n"/>
      <c r="AA29" s="21" t="n"/>
      <c r="AB29" s="21" t="n"/>
      <c r="AC29" s="21" t="n"/>
      <c r="AD29" s="22">
        <f>SUM(E29:AC29)</f>
        <v/>
      </c>
    </row>
    <row r="30">
      <c r="A30" s="17" t="inlineStr">
        <is>
          <t>3.15</t>
        </is>
      </c>
      <c r="B30" s="18" t="inlineStr">
        <is>
          <t>SUMINISTRO E INSTALACIÓN DE CARPETA ASFÁLTICA EN FRÍO TIPO MDF-19.</t>
        </is>
      </c>
      <c r="C30" s="19" t="n">
        <v>0.02616714008400657</v>
      </c>
      <c r="D30" s="20" t="n">
        <v>7</v>
      </c>
      <c r="E30" s="21" t="n"/>
      <c r="F30" s="21" t="n"/>
      <c r="G30" s="21" t="n"/>
      <c r="H30" s="21" t="n"/>
      <c r="I30" s="21" t="n"/>
      <c r="J30" s="21" t="inlineStr">
        <is>
          <t>P</t>
        </is>
      </c>
      <c r="K30" s="21" t="inlineStr">
        <is>
          <t>P</t>
        </is>
      </c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21" t="n"/>
      <c r="AD30" s="22">
        <f>SUM(E30:AC30)</f>
        <v/>
      </c>
    </row>
    <row r="31">
      <c r="A31" s="17" t="inlineStr">
        <is>
          <t>3.16</t>
        </is>
      </c>
      <c r="B31" s="18" t="inlineStr">
        <is>
          <t>SUMINISTRO E INSTALACIÓN DE LOSETAS PODOTÁCTILES PARA ACCESIBILIDAD PEATONAL.</t>
        </is>
      </c>
      <c r="C31" s="19" t="n">
        <v>0.01179289350358989</v>
      </c>
      <c r="D31" s="20" t="n">
        <v>9</v>
      </c>
      <c r="E31" s="21" t="n"/>
      <c r="F31" s="21" t="n"/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inlineStr">
        <is>
          <t>P</t>
        </is>
      </c>
      <c r="U31" s="21" t="inlineStr">
        <is>
          <t>P</t>
        </is>
      </c>
      <c r="V31" s="21" t="inlineStr">
        <is>
          <t>P</t>
        </is>
      </c>
      <c r="W31" s="21" t="n"/>
      <c r="X31" s="21" t="n"/>
      <c r="Y31" s="21" t="n"/>
      <c r="Z31" s="21" t="n"/>
      <c r="AA31" s="21" t="n"/>
      <c r="AB31" s="21" t="n"/>
      <c r="AC31" s="21" t="n"/>
      <c r="AD31" s="22">
        <f>SUM(E31:AC31)</f>
        <v/>
      </c>
    </row>
    <row r="32">
      <c r="A32" s="17" t="inlineStr">
        <is>
          <t>3.17</t>
        </is>
      </c>
      <c r="B32" s="18" t="inlineStr">
        <is>
          <t>SUMINISTRO E INSTALACIÓN DE BOLARDO EN HIERRO NODULAR ASTM A536, PINTADO Y EMPOTRADO EN CONCRETO.</t>
        </is>
      </c>
      <c r="C32" s="19" t="n">
        <v>0.0008278411710506627</v>
      </c>
      <c r="D32" s="20" t="n">
        <v>2</v>
      </c>
      <c r="E32" s="21" t="n"/>
      <c r="F32" s="21" t="n"/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inlineStr">
        <is>
          <t>P</t>
        </is>
      </c>
      <c r="Y32" s="21" t="n"/>
      <c r="Z32" s="21" t="n"/>
      <c r="AA32" s="21" t="n"/>
      <c r="AB32" s="21" t="n"/>
      <c r="AC32" s="21" t="n"/>
      <c r="AD32" s="22">
        <f>SUM(E32:AC32)</f>
        <v/>
      </c>
    </row>
    <row r="33">
      <c r="A33" s="12" t="inlineStr">
        <is>
          <t>4</t>
        </is>
      </c>
      <c r="B33" s="13" t="inlineStr">
        <is>
          <t>MUROS Y REVESTIMIENTOS</t>
        </is>
      </c>
      <c r="C33" s="14">
        <f>SUM(C34:C40)</f>
        <v/>
      </c>
      <c r="D33" s="15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  <c r="AA33" s="16" t="n"/>
      <c r="AB33" s="16" t="n"/>
      <c r="AC33" s="16" t="n"/>
      <c r="AD33" s="16" t="n"/>
    </row>
    <row r="34">
      <c r="A34" s="17" t="inlineStr">
        <is>
          <t>4.1</t>
        </is>
      </c>
      <c r="B34" s="18" t="inlineStr">
        <is>
          <t>SUMINISTRO E INSTALACIÓN DE MURO EN MAMPOSTERÍA ABUZARDADA DE 12 CM DE ESPESOR, INCLUYE ACERO DE DOVELAS.</t>
        </is>
      </c>
      <c r="C34" s="19" t="n">
        <v>0.0413111574060786</v>
      </c>
      <c r="D34" s="20" t="n">
        <v>11</v>
      </c>
      <c r="E34" s="21" t="n"/>
      <c r="F34" s="21" t="n"/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inlineStr">
        <is>
          <t>P</t>
        </is>
      </c>
      <c r="U34" s="21" t="inlineStr">
        <is>
          <t>P</t>
        </is>
      </c>
      <c r="V34" s="21" t="inlineStr">
        <is>
          <t>P</t>
        </is>
      </c>
      <c r="W34" s="21" t="n"/>
      <c r="X34" s="21" t="n"/>
      <c r="Y34" s="21" t="n"/>
      <c r="Z34" s="21" t="n"/>
      <c r="AA34" s="21" t="n"/>
      <c r="AB34" s="21" t="n"/>
      <c r="AC34" s="21" t="n"/>
      <c r="AD34" s="22">
        <f>SUM(E34:AC34)</f>
        <v/>
      </c>
    </row>
    <row r="35">
      <c r="A35" s="17" t="inlineStr">
        <is>
          <t>4.2</t>
        </is>
      </c>
      <c r="B35" s="18" t="inlineStr">
        <is>
          <t>SUMINISTRO E INSTALACIÓN DE MORTERO 1:4 PARA NIVELACIÓN Y PREPARACIÓN DE PISOS, E=4 CM.</t>
        </is>
      </c>
      <c r="C35" s="19" t="n">
        <v>0.004820178381099588</v>
      </c>
      <c r="D35" s="20" t="n">
        <v>7</v>
      </c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inlineStr">
        <is>
          <t>P</t>
        </is>
      </c>
      <c r="U35" s="21" t="inlineStr">
        <is>
          <t>P</t>
        </is>
      </c>
      <c r="V35" s="21" t="n"/>
      <c r="W35" s="21" t="n"/>
      <c r="X35" s="21" t="n"/>
      <c r="Y35" s="21" t="n"/>
      <c r="Z35" s="21" t="n"/>
      <c r="AA35" s="21" t="n"/>
      <c r="AB35" s="21" t="n"/>
      <c r="AC35" s="21" t="n"/>
      <c r="AD35" s="22">
        <f>SUM(E35:AC35)</f>
        <v/>
      </c>
    </row>
    <row r="36">
      <c r="A36" s="17" t="inlineStr">
        <is>
          <t>4.3</t>
        </is>
      </c>
      <c r="B36" s="18" t="inlineStr">
        <is>
          <t>SUMINISTRO E INSTALACIÓN DE REPELLO LISO EN MORTERO 1:4 SOBRE MUROS, INCLUYE FILOS Y JUNTAS DE DILATACIÓN.</t>
        </is>
      </c>
      <c r="C36" s="19" t="n">
        <v>0.00287364252382432</v>
      </c>
      <c r="D36" s="20" t="n">
        <v>7</v>
      </c>
      <c r="E36" s="21" t="n"/>
      <c r="F36" s="21" t="n"/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inlineStr">
        <is>
          <t>P</t>
        </is>
      </c>
      <c r="U36" s="21" t="inlineStr">
        <is>
          <t>P</t>
        </is>
      </c>
      <c r="V36" s="21" t="n"/>
      <c r="W36" s="21" t="n"/>
      <c r="X36" s="21" t="n"/>
      <c r="Y36" s="21" t="n"/>
      <c r="Z36" s="21" t="n"/>
      <c r="AA36" s="21" t="n"/>
      <c r="AB36" s="21" t="n"/>
      <c r="AC36" s="21" t="n"/>
      <c r="AD36" s="22">
        <f>SUM(E36:AC36)</f>
        <v/>
      </c>
    </row>
    <row r="37">
      <c r="A37" s="17" t="inlineStr">
        <is>
          <t>4.4</t>
        </is>
      </c>
      <c r="B37" s="18" t="inlineStr">
        <is>
          <t>SUMINISTRO E INSTALACIÓN DE REPELLO LISO IMPERMEABILIZADO EN MORTERO 1:4 SOBRE MUROS, INCLUYE FILOS Y JUNTAS DE DILATACIÓN.</t>
        </is>
      </c>
      <c r="C37" s="19" t="n">
        <v>0.001341645558199973</v>
      </c>
      <c r="D37" s="20" t="n">
        <v>3</v>
      </c>
      <c r="E37" s="21" t="n"/>
      <c r="F37" s="21" t="n"/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inlineStr">
        <is>
          <t>P</t>
        </is>
      </c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21" t="n"/>
      <c r="AD37" s="22">
        <f>SUM(E37:AC37)</f>
        <v/>
      </c>
    </row>
    <row r="38">
      <c r="A38" s="17" t="inlineStr">
        <is>
          <t>4.5</t>
        </is>
      </c>
      <c r="B38" s="18" t="inlineStr">
        <is>
          <t>SUMINISTRO E INSTALACIÓN DE DINTEL EN CONCRETO DE 3.000 PSI SOBRE MUROS.</t>
        </is>
      </c>
      <c r="C38" s="19" t="n">
        <v>0.002850600307090841</v>
      </c>
      <c r="D38" s="20" t="n">
        <v>3</v>
      </c>
      <c r="E38" s="21" t="n"/>
      <c r="F38" s="21" t="n"/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inlineStr">
        <is>
          <t>P</t>
        </is>
      </c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21" t="n"/>
      <c r="AD38" s="22">
        <f>SUM(E38:AC38)</f>
        <v/>
      </c>
    </row>
    <row r="39">
      <c r="A39" s="17" t="inlineStr">
        <is>
          <t>4.6</t>
        </is>
      </c>
      <c r="B39" s="18" t="inlineStr">
        <is>
          <t>SUMINISTRO E INSTALACIÓN DE ALFAJÍA EN MURO DE BORDE CON FORMACIÓN DE CORTAGOTERO.</t>
        </is>
      </c>
      <c r="C39" s="19" t="n">
        <v>0.0004506634701125623</v>
      </c>
      <c r="D39" s="20" t="n">
        <v>2</v>
      </c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1" t="n"/>
      <c r="R39" s="21" t="n"/>
      <c r="S39" s="21" t="n"/>
      <c r="T39" s="21" t="inlineStr">
        <is>
          <t>P</t>
        </is>
      </c>
      <c r="U39" s="21" t="n"/>
      <c r="V39" s="21" t="n"/>
      <c r="W39" s="21" t="n"/>
      <c r="X39" s="21" t="n"/>
      <c r="Y39" s="21" t="n"/>
      <c r="Z39" s="21" t="n"/>
      <c r="AA39" s="21" t="n"/>
      <c r="AB39" s="21" t="n"/>
      <c r="AC39" s="21" t="n"/>
      <c r="AD39" s="22">
        <f>SUM(E39:AC39)</f>
        <v/>
      </c>
    </row>
    <row r="40">
      <c r="A40" s="17" t="inlineStr">
        <is>
          <t>4.7</t>
        </is>
      </c>
      <c r="B40" s="18" t="inlineStr">
        <is>
          <t>SUMINISTRO E INSTALACIÓN DE LAVATRAPEROS EN MAMPOSTERÍA CON ACABADO EN GRANITO PULIDO, INCLUYE GRIFERÍA, PAÑETE, PULIDA Y BRILLADA.</t>
        </is>
      </c>
      <c r="C40" s="19" t="n">
        <v>0.0002149209925206824</v>
      </c>
      <c r="D40" s="20" t="n">
        <v>1</v>
      </c>
      <c r="E40" s="21" t="n"/>
      <c r="F40" s="21" t="n"/>
      <c r="G40" s="21" t="n"/>
      <c r="H40" s="21" t="n"/>
      <c r="I40" s="21" t="n"/>
      <c r="J40" s="21" t="n"/>
      <c r="K40" s="21" t="n"/>
      <c r="L40" s="21" t="n"/>
      <c r="M40" s="21" t="n"/>
      <c r="N40" s="21" t="n"/>
      <c r="O40" s="21" t="n"/>
      <c r="P40" s="21" t="n"/>
      <c r="Q40" s="21" t="n"/>
      <c r="R40" s="21" t="n"/>
      <c r="S40" s="21" t="n"/>
      <c r="T40" s="21" t="inlineStr">
        <is>
          <t>P</t>
        </is>
      </c>
      <c r="U40" s="21" t="n"/>
      <c r="V40" s="21" t="n"/>
      <c r="W40" s="21" t="n"/>
      <c r="X40" s="21" t="n"/>
      <c r="Y40" s="21" t="n"/>
      <c r="Z40" s="21" t="n"/>
      <c r="AA40" s="21" t="n"/>
      <c r="AB40" s="21" t="n"/>
      <c r="AC40" s="21" t="n"/>
      <c r="AD40" s="22">
        <f>SUM(E40:AC40)</f>
        <v/>
      </c>
    </row>
    <row r="41">
      <c r="A41" s="12" t="inlineStr">
        <is>
          <t>5</t>
        </is>
      </c>
      <c r="B41" s="13" t="inlineStr">
        <is>
          <t>ACABADOS ARQUITECTÓNICOS</t>
        </is>
      </c>
      <c r="C41" s="14">
        <f>SUM(C42:C49)</f>
        <v/>
      </c>
      <c r="D41" s="15" t="n"/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  <c r="AA41" s="16" t="n"/>
      <c r="AB41" s="16" t="n"/>
      <c r="AC41" s="16" t="n"/>
      <c r="AD41" s="16" t="n"/>
    </row>
    <row r="42">
      <c r="A42" s="17" t="inlineStr">
        <is>
          <t>5.1</t>
        </is>
      </c>
      <c r="B42" s="18" t="inlineStr">
        <is>
          <t>SUMINISTRO E INSTALACIÓN DE PISO EN CONCRETO PULIDO DE 4.000 PSI.</t>
        </is>
      </c>
      <c r="C42" s="19" t="n">
        <v>0.02521658121685484</v>
      </c>
      <c r="D42" s="20" t="n">
        <v>11</v>
      </c>
      <c r="E42" s="21" t="n"/>
      <c r="F42" s="21" t="n"/>
      <c r="G42" s="21" t="n"/>
      <c r="H42" s="21" t="n"/>
      <c r="I42" s="21" t="n"/>
      <c r="J42" s="21" t="n"/>
      <c r="K42" s="21" t="n"/>
      <c r="L42" s="21" t="n"/>
      <c r="M42" s="21" t="n"/>
      <c r="N42" s="21" t="n"/>
      <c r="O42" s="21" t="n"/>
      <c r="P42" s="21" t="n"/>
      <c r="Q42" s="21" t="n"/>
      <c r="R42" s="21" t="n"/>
      <c r="S42" s="21" t="n"/>
      <c r="T42" s="21" t="n"/>
      <c r="U42" s="21" t="n"/>
      <c r="V42" s="21" t="n"/>
      <c r="W42" s="21" t="n"/>
      <c r="X42" s="21" t="inlineStr">
        <is>
          <t>P</t>
        </is>
      </c>
      <c r="Y42" s="21" t="inlineStr">
        <is>
          <t>P</t>
        </is>
      </c>
      <c r="Z42" s="21" t="inlineStr">
        <is>
          <t>P</t>
        </is>
      </c>
      <c r="AA42" s="21" t="n"/>
      <c r="AB42" s="21" t="n"/>
      <c r="AC42" s="21" t="n"/>
      <c r="AD42" s="22">
        <f>SUM(E42:AC42)</f>
        <v/>
      </c>
    </row>
    <row r="43">
      <c r="A43" s="17" t="inlineStr">
        <is>
          <t>5.2</t>
        </is>
      </c>
      <c r="B43" s="18" t="inlineStr">
        <is>
          <t>SUMINISTRO E INSTALACIÓN DE PISO CERÁMICO ANTIDESLIZANTE FORMATO 30X30 PARA BAÑOS Y ÁREAS HÚMEDAS.</t>
        </is>
      </c>
      <c r="C43" s="19" t="n">
        <v>0.001991244908867702</v>
      </c>
      <c r="D43" s="20" t="n">
        <v>5</v>
      </c>
      <c r="E43" s="21" t="n"/>
      <c r="F43" s="21" t="n"/>
      <c r="G43" s="21" t="n"/>
      <c r="H43" s="21" t="n"/>
      <c r="I43" s="21" t="n"/>
      <c r="J43" s="21" t="n"/>
      <c r="K43" s="21" t="n"/>
      <c r="L43" s="21" t="n"/>
      <c r="M43" s="21" t="n"/>
      <c r="N43" s="21" t="n"/>
      <c r="O43" s="21" t="n"/>
      <c r="P43" s="21" t="n"/>
      <c r="Q43" s="21" t="n"/>
      <c r="R43" s="21" t="n"/>
      <c r="S43" s="21" t="n"/>
      <c r="T43" s="21" t="n"/>
      <c r="U43" s="21" t="n"/>
      <c r="V43" s="21" t="n"/>
      <c r="W43" s="21" t="n"/>
      <c r="X43" s="21" t="inlineStr">
        <is>
          <t>P</t>
        </is>
      </c>
      <c r="Y43" s="21" t="inlineStr">
        <is>
          <t>P</t>
        </is>
      </c>
      <c r="Z43" s="21" t="n"/>
      <c r="AA43" s="21" t="n"/>
      <c r="AB43" s="21" t="n"/>
      <c r="AC43" s="21" t="n"/>
      <c r="AD43" s="22">
        <f>SUM(E43:AC43)</f>
        <v/>
      </c>
    </row>
    <row r="44">
      <c r="A44" s="17" t="inlineStr">
        <is>
          <t>5.3</t>
        </is>
      </c>
      <c r="B44" s="18" t="inlineStr">
        <is>
          <t>SUMINISTRO E INSTALACIÓN DE BORDILLO EN CONCRETO DE 3.000 PSI.</t>
        </is>
      </c>
      <c r="C44" s="19" t="n">
        <v>0.003968753347990113</v>
      </c>
      <c r="D44" s="20" t="n">
        <v>10</v>
      </c>
      <c r="E44" s="21" t="n"/>
      <c r="F44" s="21" t="n"/>
      <c r="G44" s="21" t="n"/>
      <c r="H44" s="21" t="n"/>
      <c r="I44" s="21" t="n"/>
      <c r="J44" s="21" t="n"/>
      <c r="K44" s="21" t="n"/>
      <c r="L44" s="21" t="n"/>
      <c r="M44" s="21" t="n"/>
      <c r="N44" s="21" t="n"/>
      <c r="O44" s="21" t="n"/>
      <c r="P44" s="21" t="n"/>
      <c r="Q44" s="21" t="n"/>
      <c r="R44" s="21" t="n"/>
      <c r="S44" s="21" t="n"/>
      <c r="T44" s="21" t="n"/>
      <c r="U44" s="21" t="n"/>
      <c r="V44" s="21" t="n"/>
      <c r="W44" s="21" t="n"/>
      <c r="X44" s="21" t="inlineStr">
        <is>
          <t>P</t>
        </is>
      </c>
      <c r="Y44" s="21" t="inlineStr">
        <is>
          <t>P</t>
        </is>
      </c>
      <c r="Z44" s="21" t="inlineStr">
        <is>
          <t>P</t>
        </is>
      </c>
      <c r="AA44" s="21" t="n"/>
      <c r="AB44" s="21" t="n"/>
      <c r="AC44" s="21" t="n"/>
      <c r="AD44" s="22">
        <f>SUM(E44:AC44)</f>
        <v/>
      </c>
    </row>
    <row r="45">
      <c r="A45" s="17" t="inlineStr">
        <is>
          <t>5.4</t>
        </is>
      </c>
      <c r="B45" s="18" t="inlineStr">
        <is>
          <t>SUMINISTRO E INSTALACIÓN DE REVESTIMIENTO CERÁMICO PARA MUROS FORMATO 30X30 HASTA ALTURA DE 2,00 M.</t>
        </is>
      </c>
      <c r="C45" s="19" t="n">
        <v>0.005331056493185314</v>
      </c>
      <c r="D45" s="20" t="n">
        <v>8</v>
      </c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1" t="n"/>
      <c r="R45" s="21" t="n"/>
      <c r="S45" s="21" t="n"/>
      <c r="T45" s="21" t="n"/>
      <c r="U45" s="21" t="n"/>
      <c r="V45" s="21" t="n"/>
      <c r="W45" s="21" t="n"/>
      <c r="X45" s="21" t="inlineStr">
        <is>
          <t>P</t>
        </is>
      </c>
      <c r="Y45" s="21" t="inlineStr">
        <is>
          <t>P</t>
        </is>
      </c>
      <c r="Z45" s="21" t="inlineStr">
        <is>
          <t>P</t>
        </is>
      </c>
      <c r="AA45" s="21" t="n"/>
      <c r="AB45" s="21" t="n"/>
      <c r="AC45" s="21" t="n"/>
      <c r="AD45" s="22">
        <f>SUM(E45:AC45)</f>
        <v/>
      </c>
    </row>
    <row r="46">
      <c r="A46" s="17" t="inlineStr">
        <is>
          <t>5.5</t>
        </is>
      </c>
      <c r="B46" s="18" t="inlineStr">
        <is>
          <t>SUMINISTRO E INSTALACIÓN DE ESTUCO PLÁSTICO SOBRE SUPERFICIES DE MURO.</t>
        </is>
      </c>
      <c r="C46" s="19" t="n">
        <v>0.002449299291634454</v>
      </c>
      <c r="D46" s="20" t="n">
        <v>12</v>
      </c>
      <c r="E46" s="21" t="n"/>
      <c r="F46" s="21" t="n"/>
      <c r="G46" s="21" t="n"/>
      <c r="H46" s="21" t="n"/>
      <c r="I46" s="21" t="n"/>
      <c r="J46" s="21" t="n"/>
      <c r="K46" s="21" t="n"/>
      <c r="L46" s="21" t="n"/>
      <c r="M46" s="21" t="n"/>
      <c r="N46" s="21" t="n"/>
      <c r="O46" s="21" t="n"/>
      <c r="P46" s="21" t="n"/>
      <c r="Q46" s="21" t="n"/>
      <c r="R46" s="21" t="n"/>
      <c r="S46" s="21" t="n"/>
      <c r="T46" s="21" t="n"/>
      <c r="U46" s="21" t="n"/>
      <c r="V46" s="21" t="n"/>
      <c r="W46" s="21" t="n"/>
      <c r="X46" s="21" t="inlineStr">
        <is>
          <t>P</t>
        </is>
      </c>
      <c r="Y46" s="21" t="inlineStr">
        <is>
          <t>P</t>
        </is>
      </c>
      <c r="Z46" s="21" t="inlineStr">
        <is>
          <t>P</t>
        </is>
      </c>
      <c r="AA46" s="21" t="n"/>
      <c r="AB46" s="21" t="n"/>
      <c r="AC46" s="21" t="n"/>
      <c r="AD46" s="22">
        <f>SUM(E46:AC46)</f>
        <v/>
      </c>
    </row>
    <row r="47">
      <c r="A47" s="17" t="inlineStr">
        <is>
          <t>5.6</t>
        </is>
      </c>
      <c r="B47" s="18" t="inlineStr">
        <is>
          <t>SUMINISTRO E INSTALACIÓN DE SISTEMA DE PINTURA BLANCA TIPO 1, INCLUYE FILOS Y DILATACIONES.</t>
        </is>
      </c>
      <c r="C47" s="19" t="n">
        <v>0.003839820294343501</v>
      </c>
      <c r="D47" s="20" t="n">
        <v>11</v>
      </c>
      <c r="E47" s="21" t="n"/>
      <c r="F47" s="21" t="n"/>
      <c r="G47" s="21" t="n"/>
      <c r="H47" s="21" t="n"/>
      <c r="I47" s="21" t="n"/>
      <c r="J47" s="21" t="n"/>
      <c r="K47" s="21" t="n"/>
      <c r="L47" s="21" t="n"/>
      <c r="M47" s="21" t="n"/>
      <c r="N47" s="21" t="n"/>
      <c r="O47" s="21" t="n"/>
      <c r="P47" s="21" t="n"/>
      <c r="Q47" s="21" t="n"/>
      <c r="R47" s="21" t="n"/>
      <c r="S47" s="21" t="n"/>
      <c r="T47" s="21" t="n"/>
      <c r="U47" s="21" t="n"/>
      <c r="V47" s="21" t="n"/>
      <c r="W47" s="21" t="n"/>
      <c r="X47" s="21" t="inlineStr">
        <is>
          <t>P</t>
        </is>
      </c>
      <c r="Y47" s="21" t="inlineStr">
        <is>
          <t>P</t>
        </is>
      </c>
      <c r="Z47" s="21" t="inlineStr">
        <is>
          <t>P</t>
        </is>
      </c>
      <c r="AA47" s="21" t="n"/>
      <c r="AB47" s="21" t="n"/>
      <c r="AC47" s="21" t="n"/>
      <c r="AD47" s="22">
        <f>SUM(E47:AC47)</f>
        <v/>
      </c>
    </row>
    <row r="48">
      <c r="A48" s="17" t="inlineStr">
        <is>
          <t>5.7</t>
        </is>
      </c>
      <c r="B48" s="18" t="inlineStr">
        <is>
          <t>SUMINISTRO E INSTALACIÓN DE RECUBRIMIENTO EPÓXICO A BASE DE RESINA ACRÍLICA TERMOPLÁSTICA.</t>
        </is>
      </c>
      <c r="C48" s="19" t="n">
        <v>0.02194106317655459</v>
      </c>
      <c r="D48" s="20" t="n">
        <v>11</v>
      </c>
      <c r="E48" s="21" t="n"/>
      <c r="F48" s="21" t="n"/>
      <c r="G48" s="21" t="n"/>
      <c r="H48" s="21" t="n"/>
      <c r="I48" s="21" t="n"/>
      <c r="J48" s="21" t="n"/>
      <c r="K48" s="21" t="n"/>
      <c r="L48" s="21" t="n"/>
      <c r="M48" s="21" t="n"/>
      <c r="N48" s="21" t="n"/>
      <c r="O48" s="21" t="n"/>
      <c r="P48" s="21" t="n"/>
      <c r="Q48" s="21" t="n"/>
      <c r="R48" s="21" t="n"/>
      <c r="S48" s="21" t="n"/>
      <c r="T48" s="21" t="n"/>
      <c r="U48" s="21" t="n"/>
      <c r="V48" s="21" t="n"/>
      <c r="W48" s="21" t="n"/>
      <c r="X48" s="21" t="inlineStr">
        <is>
          <t>P</t>
        </is>
      </c>
      <c r="Y48" s="21" t="inlineStr">
        <is>
          <t>P</t>
        </is>
      </c>
      <c r="Z48" s="21" t="inlineStr">
        <is>
          <t>P</t>
        </is>
      </c>
      <c r="AA48" s="21" t="n"/>
      <c r="AB48" s="21" t="n"/>
      <c r="AC48" s="21" t="n"/>
      <c r="AD48" s="22">
        <f>SUM(E48:AC48)</f>
        <v/>
      </c>
    </row>
    <row r="49">
      <c r="A49" s="17" t="inlineStr">
        <is>
          <t>5.8</t>
        </is>
      </c>
      <c r="B49" s="18" t="inlineStr">
        <is>
          <t>SUMINISTRO E INSTALACIÓN DE PINTURA PARA DEMARCACIÓN DE ÁREAS.</t>
        </is>
      </c>
      <c r="C49" s="19" t="n">
        <v>0.001419615708216479</v>
      </c>
      <c r="D49" s="20" t="n">
        <v>6</v>
      </c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1" t="n"/>
      <c r="R49" s="21" t="n"/>
      <c r="S49" s="21" t="n"/>
      <c r="T49" s="21" t="n"/>
      <c r="U49" s="21" t="n"/>
      <c r="V49" s="21" t="n"/>
      <c r="W49" s="21" t="n"/>
      <c r="X49" s="21" t="inlineStr">
        <is>
          <t>P</t>
        </is>
      </c>
      <c r="Y49" s="21" t="inlineStr">
        <is>
          <t>P</t>
        </is>
      </c>
      <c r="Z49" s="21" t="n"/>
      <c r="AA49" s="21" t="n"/>
      <c r="AB49" s="21" t="n"/>
      <c r="AC49" s="21" t="n"/>
      <c r="AD49" s="22">
        <f>SUM(E49:AC49)</f>
        <v/>
      </c>
    </row>
    <row r="50">
      <c r="A50" s="12" t="inlineStr">
        <is>
          <t>6</t>
        </is>
      </c>
      <c r="B50" s="13" t="inlineStr">
        <is>
          <t>SISTEMA DE CUBIERTA</t>
        </is>
      </c>
      <c r="C50" s="14">
        <f>SUM(C51:C55)</f>
        <v/>
      </c>
      <c r="D50" s="15" t="n"/>
      <c r="E50" s="16" t="n"/>
      <c r="F50" s="16" t="n"/>
      <c r="G50" s="16" t="n"/>
      <c r="H50" s="16" t="n"/>
      <c r="I50" s="16" t="n"/>
      <c r="J50" s="16" t="n"/>
      <c r="K50" s="16" t="n"/>
      <c r="L50" s="16" t="n"/>
      <c r="M50" s="16" t="n"/>
      <c r="N50" s="16" t="n"/>
      <c r="O50" s="16" t="n"/>
      <c r="P50" s="16" t="n"/>
      <c r="Q50" s="16" t="n"/>
      <c r="R50" s="16" t="n"/>
      <c r="S50" s="16" t="n"/>
      <c r="T50" s="16" t="n"/>
      <c r="U50" s="16" t="n"/>
      <c r="V50" s="16" t="n"/>
      <c r="W50" s="16" t="n"/>
      <c r="X50" s="16" t="n"/>
      <c r="Y50" s="16" t="n"/>
      <c r="Z50" s="16" t="n"/>
      <c r="AA50" s="16" t="n"/>
      <c r="AB50" s="16" t="n"/>
      <c r="AC50" s="16" t="n"/>
      <c r="AD50" s="16" t="n"/>
    </row>
    <row r="51">
      <c r="A51" s="17" t="inlineStr">
        <is>
          <t>6.1</t>
        </is>
      </c>
      <c r="B51" s="18" t="inlineStr">
        <is>
          <t>Suministro, fabricación, transporte y montaje de ESTRUCTURA METÁLICA DE CUBIERTA SEGUN DISEÑO MALOKA en acero ASTM-500 grC (tubería estructural rectangular), uniones soldadas SMAW con electrodo E7018 y empernadas A325, según planos EST-010. Incluye platinas/placas de conexión, consumibles de soldadura, sistema de pintura anticorrosiva, cortes, despuntes y elementos auxiliares de montaje. Medido por kg de acero.</t>
        </is>
      </c>
      <c r="C51" s="19" t="n">
        <v>0.1091345224026924</v>
      </c>
      <c r="D51" s="20" t="n">
        <v>17</v>
      </c>
      <c r="E51" s="21" t="n"/>
      <c r="F51" s="21" t="n"/>
      <c r="G51" s="21" t="n"/>
      <c r="H51" s="21" t="n"/>
      <c r="I51" s="21" t="n"/>
      <c r="J51" s="21" t="n"/>
      <c r="K51" s="21" t="n"/>
      <c r="L51" s="21" t="n"/>
      <c r="M51" s="21" t="n"/>
      <c r="N51" s="21" t="n"/>
      <c r="O51" s="21" t="n">
        <v>0.06</v>
      </c>
      <c r="P51" s="21" t="inlineStr">
        <is>
          <t>P</t>
        </is>
      </c>
      <c r="Q51" s="21" t="inlineStr">
        <is>
          <t>P</t>
        </is>
      </c>
      <c r="R51" s="21" t="inlineStr">
        <is>
          <t>P</t>
        </is>
      </c>
      <c r="S51" s="21" t="n"/>
      <c r="T51" s="21" t="n"/>
      <c r="U51" s="21" t="n"/>
      <c r="V51" s="21" t="n"/>
      <c r="W51" s="21" t="n"/>
      <c r="X51" s="21" t="n"/>
      <c r="Y51" s="21" t="n"/>
      <c r="Z51" s="21" t="n"/>
      <c r="AA51" s="21" t="n"/>
      <c r="AB51" s="21" t="n"/>
      <c r="AC51" s="21" t="n"/>
      <c r="AD51" s="22">
        <f>SUM(E51:AC51)</f>
        <v/>
      </c>
    </row>
    <row r="52">
      <c r="A52" s="17" t="inlineStr">
        <is>
          <t>6.2</t>
        </is>
      </c>
      <c r="B52" s="18" t="inlineStr">
        <is>
          <t>Suministro, fabricación, transporte y montaje de CORREAS METÁLICAS TIPO CAJÓN doble (2 perfiles C-125 cal 14, t=2,0 mm) unidas con soldadura intermitente 50@250, incluye platinas de unión a viga cinta (140×260×6,5 y 140×200×6,5), lámina conectora 50×220×2,0, pernos 3/8", consumibles de soldadura E7018, sistema de pintura anticorrosiva, cortes, despuntes y montaje. Medido por kg de acero.</t>
        </is>
      </c>
      <c r="C52" s="19" t="n">
        <v>0.01252811527073654</v>
      </c>
      <c r="D52" s="20" t="n">
        <v>11</v>
      </c>
      <c r="E52" s="21" t="n"/>
      <c r="F52" s="21" t="n"/>
      <c r="G52" s="21" t="n"/>
      <c r="H52" s="21" t="n"/>
      <c r="I52" s="21" t="n"/>
      <c r="J52" s="21" t="n"/>
      <c r="K52" s="21" t="n"/>
      <c r="L52" s="21" t="n"/>
      <c r="M52" s="21" t="n"/>
      <c r="N52" s="21" t="n"/>
      <c r="O52" s="21" t="n"/>
      <c r="P52" s="21" t="n"/>
      <c r="Q52" s="21" t="n"/>
      <c r="R52" s="21" t="inlineStr">
        <is>
          <t>P</t>
        </is>
      </c>
      <c r="S52" s="21" t="inlineStr">
        <is>
          <t>P</t>
        </is>
      </c>
      <c r="T52" s="21" t="inlineStr">
        <is>
          <t>P</t>
        </is>
      </c>
      <c r="U52" s="21" t="n"/>
      <c r="V52" s="21" t="n"/>
      <c r="W52" s="21" t="n"/>
      <c r="X52" s="21" t="n"/>
      <c r="Y52" s="21" t="n"/>
      <c r="Z52" s="21" t="n"/>
      <c r="AA52" s="21" t="n"/>
      <c r="AB52" s="21" t="n"/>
      <c r="AC52" s="21" t="n"/>
      <c r="AD52" s="22">
        <f>SUM(E52:AC52)</f>
        <v/>
      </c>
    </row>
    <row r="53">
      <c r="A53" s="17" t="inlineStr">
        <is>
          <t>6.3</t>
        </is>
      </c>
      <c r="B53" s="18" t="inlineStr">
        <is>
          <t>SUMINISTRO E INSTALACIÓN DE ESTRUCTURA METÁLICA PARA PÉRGOLA, INCLUYE PERFILERÍA Y UNIONES SOLDADAS.</t>
        </is>
      </c>
      <c r="C53" s="19" t="n">
        <v>0.03250622538651312</v>
      </c>
      <c r="D53" s="20" t="n">
        <v>11</v>
      </c>
      <c r="E53" s="21" t="n"/>
      <c r="F53" s="21" t="n"/>
      <c r="G53" s="21" t="n"/>
      <c r="H53" s="21" t="n"/>
      <c r="I53" s="21" t="n"/>
      <c r="J53" s="21" t="n"/>
      <c r="K53" s="21" t="n"/>
      <c r="L53" s="21" t="n"/>
      <c r="M53" s="21" t="n"/>
      <c r="N53" s="21" t="n"/>
      <c r="O53" s="21" t="n"/>
      <c r="P53" s="21" t="n"/>
      <c r="Q53" s="21" t="n"/>
      <c r="R53" s="21" t="inlineStr">
        <is>
          <t>P</t>
        </is>
      </c>
      <c r="S53" s="21" t="inlineStr">
        <is>
          <t>P</t>
        </is>
      </c>
      <c r="T53" s="21" t="inlineStr">
        <is>
          <t>P</t>
        </is>
      </c>
      <c r="U53" s="21" t="n"/>
      <c r="V53" s="21" t="n"/>
      <c r="W53" s="21" t="n"/>
      <c r="X53" s="21" t="n"/>
      <c r="Y53" s="21" t="n"/>
      <c r="Z53" s="21" t="n"/>
      <c r="AA53" s="21" t="n"/>
      <c r="AB53" s="21" t="n"/>
      <c r="AC53" s="21" t="n"/>
      <c r="AD53" s="22">
        <f>SUM(E53:AC53)</f>
        <v/>
      </c>
    </row>
    <row r="54">
      <c r="A54" s="17" t="inlineStr">
        <is>
          <t>6.4</t>
        </is>
      </c>
      <c r="B54" s="18" t="inlineStr">
        <is>
          <t>SUMINISTRO E INSTALACIÓN DE CUBIERTA TERMOACÚSTICA TIPO SÁNDWICH DE 18 MM DE ESPESOR.</t>
        </is>
      </c>
      <c r="C54" s="19" t="n">
        <v>0.07807326095588064</v>
      </c>
      <c r="D54" s="20" t="n">
        <v>23</v>
      </c>
      <c r="E54" s="21" t="n"/>
      <c r="F54" s="21" t="n"/>
      <c r="G54" s="21" t="n"/>
      <c r="H54" s="21" t="n"/>
      <c r="I54" s="21" t="n"/>
      <c r="J54" s="21" t="n"/>
      <c r="K54" s="21" t="n"/>
      <c r="L54" s="21" t="n"/>
      <c r="M54" s="21" t="n"/>
      <c r="N54" s="21" t="n"/>
      <c r="O54" s="21" t="n"/>
      <c r="P54" s="21" t="n"/>
      <c r="Q54" s="21" t="n"/>
      <c r="R54" s="21" t="n"/>
      <c r="S54" s="21" t="n"/>
      <c r="T54" s="21" t="inlineStr">
        <is>
          <t>P</t>
        </is>
      </c>
      <c r="U54" s="21" t="inlineStr">
        <is>
          <t>P</t>
        </is>
      </c>
      <c r="V54" s="21" t="inlineStr">
        <is>
          <t>P</t>
        </is>
      </c>
      <c r="W54" s="21" t="inlineStr">
        <is>
          <t>P</t>
        </is>
      </c>
      <c r="X54" s="21" t="inlineStr">
        <is>
          <t>P</t>
        </is>
      </c>
      <c r="Y54" s="21" t="n"/>
      <c r="Z54" s="21" t="n"/>
      <c r="AA54" s="21" t="n"/>
      <c r="AB54" s="21" t="n"/>
      <c r="AC54" s="21" t="n"/>
      <c r="AD54" s="22">
        <f>SUM(E54:AC54)</f>
        <v/>
      </c>
    </row>
    <row r="55">
      <c r="A55" s="17" t="inlineStr">
        <is>
          <t>6.5</t>
        </is>
      </c>
      <c r="B55" s="18" t="inlineStr">
        <is>
          <t>SUMINISTRO E INSTALACIÓN DE CUBIERTA LIVIANA EN POLICARBONATO.</t>
        </is>
      </c>
      <c r="C55" s="19" t="n">
        <v>0.002666587535058537</v>
      </c>
      <c r="D55" s="20" t="n">
        <v>4</v>
      </c>
      <c r="E55" s="21" t="n"/>
      <c r="F55" s="21" t="n"/>
      <c r="G55" s="21" t="n"/>
      <c r="H55" s="21" t="n"/>
      <c r="I55" s="21" t="n"/>
      <c r="J55" s="21" t="n"/>
      <c r="K55" s="21" t="n"/>
      <c r="L55" s="21" t="n"/>
      <c r="M55" s="21" t="n"/>
      <c r="N55" s="21" t="n"/>
      <c r="O55" s="21" t="n"/>
      <c r="P55" s="21" t="n"/>
      <c r="Q55" s="21" t="n"/>
      <c r="R55" s="21" t="n"/>
      <c r="S55" s="21" t="n"/>
      <c r="T55" s="21" t="n"/>
      <c r="U55" s="21" t="n"/>
      <c r="V55" s="21" t="n"/>
      <c r="W55" s="21" t="n"/>
      <c r="X55" s="21" t="inlineStr">
        <is>
          <t>P</t>
        </is>
      </c>
      <c r="Y55" s="21" t="inlineStr">
        <is>
          <t>P</t>
        </is>
      </c>
      <c r="Z55" s="21" t="n"/>
      <c r="AA55" s="21" t="n"/>
      <c r="AB55" s="21" t="n"/>
      <c r="AC55" s="21" t="n"/>
      <c r="AD55" s="22">
        <f>SUM(E55:AC55)</f>
        <v/>
      </c>
    </row>
    <row r="56">
      <c r="A56" s="12" t="inlineStr">
        <is>
          <t>7</t>
        </is>
      </c>
      <c r="B56" s="13" t="inlineStr">
        <is>
          <t>CARPINTERÍA METÁLICA</t>
        </is>
      </c>
      <c r="C56" s="14">
        <f>SUM(C57:C62)</f>
        <v/>
      </c>
      <c r="D56" s="15" t="n"/>
      <c r="E56" s="16" t="n"/>
      <c r="F56" s="16" t="n"/>
      <c r="G56" s="16" t="n"/>
      <c r="H56" s="16" t="n"/>
      <c r="I56" s="16" t="n"/>
      <c r="J56" s="16" t="n"/>
      <c r="K56" s="16" t="n"/>
      <c r="L56" s="16" t="n"/>
      <c r="M56" s="16" t="n"/>
      <c r="N56" s="16" t="n"/>
      <c r="O56" s="16" t="n"/>
      <c r="P56" s="16" t="n"/>
      <c r="Q56" s="16" t="n"/>
      <c r="R56" s="16" t="n"/>
      <c r="S56" s="16" t="n"/>
      <c r="T56" s="16" t="n"/>
      <c r="U56" s="16" t="n"/>
      <c r="V56" s="16" t="n"/>
      <c r="W56" s="16" t="n"/>
      <c r="X56" s="16" t="n"/>
      <c r="Y56" s="16" t="n"/>
      <c r="Z56" s="16" t="n"/>
      <c r="AA56" s="16" t="n"/>
      <c r="AB56" s="16" t="n"/>
      <c r="AC56" s="16" t="n"/>
      <c r="AD56" s="16" t="n"/>
    </row>
    <row r="57">
      <c r="A57" s="17" t="inlineStr">
        <is>
          <t>7.1</t>
        </is>
      </c>
      <c r="B57" s="18" t="inlineStr">
        <is>
          <t>Suministro, fabricación e instalación de PUERTA METÁLICA ABATIBLE PT01 de 1,20 m × 2,00 m, en lámina cold rolled cal. 18 con marco y refuerzos en perfilería estructural. Incluye 3 bisagras soldables, cerradura de seguridad, anclajes, pintura anticorrosiva y esmalte sintético.</t>
        </is>
      </c>
      <c r="C57" s="19" t="n">
        <v>0.007147382220966628</v>
      </c>
      <c r="D57" s="20" t="n">
        <v>9</v>
      </c>
      <c r="E57" s="21" t="n"/>
      <c r="F57" s="21" t="n"/>
      <c r="G57" s="21" t="n"/>
      <c r="H57" s="21" t="n"/>
      <c r="I57" s="21" t="n"/>
      <c r="J57" s="21" t="n"/>
      <c r="K57" s="21" t="n"/>
      <c r="L57" s="21" t="n"/>
      <c r="M57" s="21" t="n"/>
      <c r="N57" s="21" t="n"/>
      <c r="O57" s="21" t="n"/>
      <c r="P57" s="21" t="n"/>
      <c r="Q57" s="21" t="n"/>
      <c r="R57" s="21" t="n"/>
      <c r="S57" s="21" t="n"/>
      <c r="T57" s="21" t="n"/>
      <c r="U57" s="21" t="n"/>
      <c r="V57" s="21" t="inlineStr">
        <is>
          <t>P</t>
        </is>
      </c>
      <c r="W57" s="21" t="inlineStr">
        <is>
          <t>P</t>
        </is>
      </c>
      <c r="X57" s="21" t="n"/>
      <c r="Y57" s="21" t="n"/>
      <c r="Z57" s="21" t="n"/>
      <c r="AA57" s="21" t="n"/>
      <c r="AB57" s="21" t="n"/>
      <c r="AC57" s="21" t="n"/>
      <c r="AD57" s="22">
        <f>SUM(E57:AC57)</f>
        <v/>
      </c>
    </row>
    <row r="58">
      <c r="A58" s="17" t="inlineStr">
        <is>
          <t>7.2</t>
        </is>
      </c>
      <c r="B58" s="18" t="inlineStr">
        <is>
          <t>Suministro, fabricación e instalación de PUERTA METÁLICA ABATIBLE PT02 de 0,70 m × 2,00 m (acceso a baño/servicio), en lámina cold rolled cal. 18 con marco y refuerzos en perfilería estructural. Incluye 3 bisagras soldables, cerradura sencilla, anclajes, pintura anticorrosiva y esmalte sintético.</t>
        </is>
      </c>
      <c r="C58" s="19" t="n">
        <v>0.001523497283306681</v>
      </c>
      <c r="D58" s="20" t="n">
        <v>4</v>
      </c>
      <c r="E58" s="21" t="n"/>
      <c r="F58" s="21" t="n"/>
      <c r="G58" s="21" t="n"/>
      <c r="H58" s="21" t="n"/>
      <c r="I58" s="21" t="n"/>
      <c r="J58" s="21" t="n"/>
      <c r="K58" s="21" t="n"/>
      <c r="L58" s="21" t="n"/>
      <c r="M58" s="21" t="n"/>
      <c r="N58" s="21" t="n"/>
      <c r="O58" s="21" t="n"/>
      <c r="P58" s="21" t="n"/>
      <c r="Q58" s="21" t="n"/>
      <c r="R58" s="21" t="n"/>
      <c r="S58" s="21" t="n"/>
      <c r="T58" s="21" t="n"/>
      <c r="U58" s="21" t="n"/>
      <c r="V58" s="21" t="inlineStr">
        <is>
          <t>P</t>
        </is>
      </c>
      <c r="W58" s="21" t="n"/>
      <c r="X58" s="21" t="n"/>
      <c r="Y58" s="21" t="n"/>
      <c r="Z58" s="21" t="n"/>
      <c r="AA58" s="21" t="n"/>
      <c r="AB58" s="21" t="n"/>
      <c r="AC58" s="21" t="n"/>
      <c r="AD58" s="22">
        <f>SUM(E58:AC58)</f>
        <v/>
      </c>
    </row>
    <row r="59">
      <c r="A59" s="17" t="inlineStr">
        <is>
          <t>7.3</t>
        </is>
      </c>
      <c r="B59" s="18" t="inlineStr">
        <is>
          <t>Suministro, fabricación e instalación de PERSIANA FIJA VT01 de 1,40 m × 0,60 m, tipo celosía/louver con lamas horizontales en lámina cold rolled cal. 18, marco en perfilería estructural. Incluye anclajes, pintura anticorrosiva y esmalte sintético.</t>
        </is>
      </c>
      <c r="C59" s="19" t="n">
        <v>0.001308022107339901</v>
      </c>
      <c r="D59" s="20" t="n">
        <v>4</v>
      </c>
      <c r="E59" s="21" t="n"/>
      <c r="F59" s="21" t="n"/>
      <c r="G59" s="21" t="n"/>
      <c r="H59" s="21" t="n"/>
      <c r="I59" s="21" t="n"/>
      <c r="J59" s="21" t="n"/>
      <c r="K59" s="21" t="n"/>
      <c r="L59" s="21" t="n"/>
      <c r="M59" s="21" t="n"/>
      <c r="N59" s="21" t="n"/>
      <c r="O59" s="21" t="n"/>
      <c r="P59" s="21" t="n"/>
      <c r="Q59" s="21" t="n"/>
      <c r="R59" s="21" t="n"/>
      <c r="S59" s="21" t="n"/>
      <c r="T59" s="21" t="n"/>
      <c r="U59" s="21" t="n"/>
      <c r="V59" s="21" t="inlineStr">
        <is>
          <t>P</t>
        </is>
      </c>
      <c r="W59" s="21" t="n"/>
      <c r="X59" s="21" t="n"/>
      <c r="Y59" s="21" t="n"/>
      <c r="Z59" s="21" t="n"/>
      <c r="AA59" s="21" t="n"/>
      <c r="AB59" s="21" t="n"/>
      <c r="AC59" s="21" t="n"/>
      <c r="AD59" s="22">
        <f>SUM(E59:AC59)</f>
        <v/>
      </c>
    </row>
    <row r="60">
      <c r="A60" s="17" t="inlineStr">
        <is>
          <t>7.4</t>
        </is>
      </c>
      <c r="B60" s="18" t="inlineStr">
        <is>
          <t>Suministro, fabricación e instalación de VENTANA CORREDIZA VT02 de 1,40 m × 1,00 m, de dos hojas en lámina cold rolled cal. 18 , riel y rodamientos, vidrio crudo 4 mm, felpa/empaque, anclajes, pintura anticorrosiva y esmalte sintético.</t>
        </is>
      </c>
      <c r="C60" s="19" t="n">
        <v>0.0007518844746618882</v>
      </c>
      <c r="D60" s="20" t="n">
        <v>2</v>
      </c>
      <c r="E60" s="21" t="n"/>
      <c r="F60" s="21" t="n"/>
      <c r="G60" s="21" t="n"/>
      <c r="H60" s="21" t="n"/>
      <c r="I60" s="21" t="n"/>
      <c r="J60" s="21" t="n"/>
      <c r="K60" s="21" t="n"/>
      <c r="L60" s="21" t="n"/>
      <c r="M60" s="21" t="n"/>
      <c r="N60" s="21" t="n"/>
      <c r="O60" s="21" t="n"/>
      <c r="P60" s="21" t="n"/>
      <c r="Q60" s="21" t="n"/>
      <c r="R60" s="21" t="n"/>
      <c r="S60" s="21" t="n"/>
      <c r="T60" s="21" t="n"/>
      <c r="U60" s="21" t="n"/>
      <c r="V60" s="21" t="inlineStr">
        <is>
          <t>P</t>
        </is>
      </c>
      <c r="W60" s="21" t="n"/>
      <c r="X60" s="21" t="n"/>
      <c r="Y60" s="21" t="n"/>
      <c r="Z60" s="21" t="n"/>
      <c r="AA60" s="21" t="n"/>
      <c r="AB60" s="21" t="n"/>
      <c r="AC60" s="21" t="n"/>
      <c r="AD60" s="22">
        <f>SUM(E60:AC60)</f>
        <v/>
      </c>
    </row>
    <row r="61">
      <c r="A61" s="17" t="inlineStr">
        <is>
          <t>7.5</t>
        </is>
      </c>
      <c r="B61" s="18" t="inlineStr">
        <is>
          <t>Suministro, fabricación e instalación de PERSIANA FIJA VT03 tipo celosía/louver con lamas horizontales en lámina cold rolled cal. 18, marco en perfilería estructural, de altura 0,40 m y longitud variable. Incluye anclajes, pintura anticorrosiva y esmalte sintético. Medido por m² de fachada.</t>
        </is>
      </c>
      <c r="C61" s="19" t="n">
        <v>0.001759709511550449</v>
      </c>
      <c r="D61" s="20" t="n">
        <v>5</v>
      </c>
      <c r="E61" s="21" t="n"/>
      <c r="F61" s="21" t="n"/>
      <c r="G61" s="21" t="n"/>
      <c r="H61" s="21" t="n"/>
      <c r="I61" s="21" t="n"/>
      <c r="J61" s="21" t="n"/>
      <c r="K61" s="21" t="n"/>
      <c r="L61" s="21" t="n"/>
      <c r="M61" s="21" t="n"/>
      <c r="N61" s="21" t="n"/>
      <c r="O61" s="21" t="n"/>
      <c r="P61" s="21" t="n"/>
      <c r="Q61" s="21" t="n"/>
      <c r="R61" s="21" t="n"/>
      <c r="S61" s="21" t="n"/>
      <c r="T61" s="21" t="n"/>
      <c r="U61" s="21" t="n"/>
      <c r="V61" s="21" t="inlineStr">
        <is>
          <t>P</t>
        </is>
      </c>
      <c r="W61" s="21" t="inlineStr">
        <is>
          <t>P</t>
        </is>
      </c>
      <c r="X61" s="21" t="n"/>
      <c r="Y61" s="21" t="n"/>
      <c r="Z61" s="21" t="n"/>
      <c r="AA61" s="21" t="n"/>
      <c r="AB61" s="21" t="n"/>
      <c r="AC61" s="21" t="n"/>
      <c r="AD61" s="22">
        <f>SUM(E61:AC61)</f>
        <v/>
      </c>
    </row>
    <row r="62">
      <c r="A62" s="17" t="inlineStr">
        <is>
          <t>7.6</t>
        </is>
      </c>
      <c r="B62" s="18" t="inlineStr">
        <is>
          <t>Suministro, fabricación e instalación de PERSIANA FIJA VT04 tipo celosía/louver con lamas horizontales en lámina cold rolled cal. 18, marco en perfilería estructural, de altura 1,00 m y longitud variable. Incluye anclajes, pintura anticorrosiva y esmalte sintético. Medido por m² de fachada.</t>
        </is>
      </c>
      <c r="C62" s="19" t="n">
        <v>0.004007069278186794</v>
      </c>
      <c r="D62" s="20" t="n">
        <v>9</v>
      </c>
      <c r="E62" s="21" t="n"/>
      <c r="F62" s="21" t="n"/>
      <c r="G62" s="21" t="n"/>
      <c r="H62" s="21" t="n"/>
      <c r="I62" s="21" t="n"/>
      <c r="J62" s="21" t="n"/>
      <c r="K62" s="21" t="n"/>
      <c r="L62" s="21" t="n"/>
      <c r="M62" s="21" t="n"/>
      <c r="N62" s="21" t="n"/>
      <c r="O62" s="21" t="n"/>
      <c r="P62" s="21" t="n"/>
      <c r="Q62" s="21" t="n"/>
      <c r="R62" s="21" t="n"/>
      <c r="S62" s="21" t="n"/>
      <c r="T62" s="21" t="n"/>
      <c r="U62" s="21" t="n"/>
      <c r="V62" s="21" t="inlineStr">
        <is>
          <t>P</t>
        </is>
      </c>
      <c r="W62" s="21" t="inlineStr">
        <is>
          <t>P</t>
        </is>
      </c>
      <c r="X62" s="21" t="n"/>
      <c r="Y62" s="21" t="n"/>
      <c r="Z62" s="21" t="n"/>
      <c r="AA62" s="21" t="n"/>
      <c r="AB62" s="21" t="n"/>
      <c r="AC62" s="21" t="n"/>
      <c r="AD62" s="22">
        <f>SUM(E62:AC62)</f>
        <v/>
      </c>
    </row>
    <row r="63">
      <c r="A63" s="12" t="inlineStr">
        <is>
          <t>8</t>
        </is>
      </c>
      <c r="B63" s="13" t="inlineStr">
        <is>
          <t>REDES HIDRÁULICAS</t>
        </is>
      </c>
      <c r="C63" s="14">
        <f>SUM(C64:C75)</f>
        <v/>
      </c>
      <c r="D63" s="15" t="n"/>
      <c r="E63" s="16" t="n"/>
      <c r="F63" s="16" t="n"/>
      <c r="G63" s="16" t="n"/>
      <c r="H63" s="16" t="n"/>
      <c r="I63" s="16" t="n"/>
      <c r="J63" s="16" t="n"/>
      <c r="K63" s="16" t="n"/>
      <c r="L63" s="16" t="n"/>
      <c r="M63" s="16" t="n"/>
      <c r="N63" s="16" t="n"/>
      <c r="O63" s="16" t="n"/>
      <c r="P63" s="16" t="n"/>
      <c r="Q63" s="16" t="n"/>
      <c r="R63" s="16" t="n"/>
      <c r="S63" s="16" t="n"/>
      <c r="T63" s="16" t="n"/>
      <c r="U63" s="16" t="n"/>
      <c r="V63" s="16" t="n"/>
      <c r="W63" s="16" t="n"/>
      <c r="X63" s="16" t="n"/>
      <c r="Y63" s="16" t="n"/>
      <c r="Z63" s="16" t="n"/>
      <c r="AA63" s="16" t="n"/>
      <c r="AB63" s="16" t="n"/>
      <c r="AC63" s="16" t="n"/>
      <c r="AD63" s="16" t="n"/>
    </row>
    <row r="64">
      <c r="A64" s="17" t="inlineStr">
        <is>
          <t>8.1</t>
        </is>
      </c>
      <c r="B64" s="18" t="inlineStr">
        <is>
          <t>SUMINISTRO E INSTALACIÓN DE TUBERÍA PVC PRESIÓN Ø 1/2", INCLUYE ACCESORIOS DE CONEXIÓN Y FIJACIÓN.</t>
        </is>
      </c>
      <c r="C64" s="19" t="n">
        <v>5.831747736438465e-05</v>
      </c>
      <c r="D64" s="20" t="n">
        <v>1</v>
      </c>
      <c r="E64" s="21" t="n"/>
      <c r="F64" s="21" t="n"/>
      <c r="G64" s="21" t="n"/>
      <c r="H64" s="21" t="n"/>
      <c r="I64" s="21" t="n"/>
      <c r="J64" s="21" t="n"/>
      <c r="K64" s="21" t="n"/>
      <c r="L64" s="21" t="n"/>
      <c r="M64" s="21" t="n"/>
      <c r="N64" s="21" t="n"/>
      <c r="O64" s="21" t="n"/>
      <c r="P64" s="21" t="n"/>
      <c r="Q64" s="21" t="n"/>
      <c r="R64" s="21" t="n"/>
      <c r="S64" s="21" t="n"/>
      <c r="T64" s="21" t="n"/>
      <c r="U64" s="21" t="n"/>
      <c r="V64" s="21" t="inlineStr">
        <is>
          <t>P</t>
        </is>
      </c>
      <c r="W64" s="21" t="n"/>
      <c r="X64" s="21" t="n"/>
      <c r="Y64" s="21" t="n"/>
      <c r="Z64" s="21" t="n"/>
      <c r="AA64" s="21" t="n"/>
      <c r="AB64" s="21" t="n"/>
      <c r="AC64" s="21" t="n"/>
      <c r="AD64" s="22">
        <f>SUM(E64:AC64)</f>
        <v/>
      </c>
    </row>
    <row r="65">
      <c r="A65" s="17" t="inlineStr">
        <is>
          <t>8.2</t>
        </is>
      </c>
      <c r="B65" s="18" t="inlineStr">
        <is>
          <t>SUMINISTRO E INSTALACIÓN DE TUBERÍA PVC PRESIÓN Ø 3/4", INCLUYE ACCESORIOS DE CONEXIÓN Y FIJACIÓN.</t>
        </is>
      </c>
      <c r="C65" s="19" t="n">
        <v>0.001615461154576632</v>
      </c>
      <c r="D65" s="20" t="n">
        <v>7</v>
      </c>
      <c r="E65" s="21" t="n"/>
      <c r="F65" s="21" t="n"/>
      <c r="G65" s="21" t="n"/>
      <c r="H65" s="21" t="n"/>
      <c r="I65" s="21" t="n"/>
      <c r="J65" s="21" t="n"/>
      <c r="K65" s="21" t="n"/>
      <c r="L65" s="21" t="n"/>
      <c r="M65" s="21" t="n"/>
      <c r="N65" s="21" t="n"/>
      <c r="O65" s="21" t="n"/>
      <c r="P65" s="21" t="n"/>
      <c r="Q65" s="21" t="n"/>
      <c r="R65" s="21" t="n"/>
      <c r="S65" s="21" t="n"/>
      <c r="T65" s="21" t="n"/>
      <c r="U65" s="21" t="n"/>
      <c r="V65" s="21" t="inlineStr">
        <is>
          <t>P</t>
        </is>
      </c>
      <c r="W65" s="21" t="inlineStr">
        <is>
          <t>P</t>
        </is>
      </c>
      <c r="X65" s="21" t="n"/>
      <c r="Y65" s="21" t="n"/>
      <c r="Z65" s="21" t="n"/>
      <c r="AA65" s="21" t="n"/>
      <c r="AB65" s="21" t="n"/>
      <c r="AC65" s="21" t="n"/>
      <c r="AD65" s="22">
        <f>SUM(E65:AC65)</f>
        <v/>
      </c>
    </row>
    <row r="66">
      <c r="A66" s="17" t="inlineStr">
        <is>
          <t>8.3</t>
        </is>
      </c>
      <c r="B66" s="18" t="inlineStr">
        <is>
          <t>SUMINISTRO E INSTALACIÓN DE TUBERÍA PVC PRESIÓN Ø 1", INCLUYE ACCESORIOS DE CONEXIÓN Y FIJACIÓN.</t>
        </is>
      </c>
      <c r="C66" s="19" t="n">
        <v>0.00131416280302413</v>
      </c>
      <c r="D66" s="20" t="n">
        <v>5</v>
      </c>
      <c r="E66" s="21" t="n"/>
      <c r="F66" s="21" t="n"/>
      <c r="G66" s="21" t="n"/>
      <c r="H66" s="21" t="n"/>
      <c r="I66" s="21" t="n"/>
      <c r="J66" s="21" t="n"/>
      <c r="K66" s="21" t="n"/>
      <c r="L66" s="21" t="n"/>
      <c r="M66" s="21" t="n"/>
      <c r="N66" s="21" t="n"/>
      <c r="O66" s="21" t="n"/>
      <c r="P66" s="21" t="n"/>
      <c r="Q66" s="21" t="n"/>
      <c r="R66" s="21" t="n"/>
      <c r="S66" s="21" t="n"/>
      <c r="T66" s="21" t="n"/>
      <c r="U66" s="21" t="n"/>
      <c r="V66" s="21" t="inlineStr">
        <is>
          <t>P</t>
        </is>
      </c>
      <c r="W66" s="21" t="inlineStr">
        <is>
          <t>P</t>
        </is>
      </c>
      <c r="X66" s="21" t="n"/>
      <c r="Y66" s="21" t="n"/>
      <c r="Z66" s="21" t="n"/>
      <c r="AA66" s="21" t="n"/>
      <c r="AB66" s="21" t="n"/>
      <c r="AC66" s="21" t="n"/>
      <c r="AD66" s="22">
        <f>SUM(E66:AC66)</f>
        <v/>
      </c>
    </row>
    <row r="67">
      <c r="A67" s="17" t="inlineStr">
        <is>
          <t>8.4</t>
        </is>
      </c>
      <c r="B67" s="18" t="inlineStr">
        <is>
          <t>EJECUCIÓN DE PUNTO HIDRÁULICO PARA AGUA FRÍA EN PVC PRESIÓN Ø 1/2".</t>
        </is>
      </c>
      <c r="C67" s="19" t="n">
        <v>0.0005867213985243272</v>
      </c>
      <c r="D67" s="20" t="n">
        <v>3</v>
      </c>
      <c r="E67" s="21" t="n"/>
      <c r="F67" s="21" t="n"/>
      <c r="G67" s="21" t="n"/>
      <c r="H67" s="21" t="n"/>
      <c r="I67" s="21" t="n"/>
      <c r="J67" s="21" t="n"/>
      <c r="K67" s="21" t="n"/>
      <c r="L67" s="21" t="n"/>
      <c r="M67" s="21" t="n"/>
      <c r="N67" s="21" t="n"/>
      <c r="O67" s="21" t="n"/>
      <c r="P67" s="21" t="n"/>
      <c r="Q67" s="21" t="n"/>
      <c r="R67" s="21" t="n"/>
      <c r="S67" s="21" t="n"/>
      <c r="T67" s="21" t="n"/>
      <c r="U67" s="21" t="n"/>
      <c r="V67" s="21" t="inlineStr">
        <is>
          <t>P</t>
        </is>
      </c>
      <c r="W67" s="21" t="n"/>
      <c r="X67" s="21" t="n"/>
      <c r="Y67" s="21" t="n"/>
      <c r="Z67" s="21" t="n"/>
      <c r="AA67" s="21" t="n"/>
      <c r="AB67" s="21" t="n"/>
      <c r="AC67" s="21" t="n"/>
      <c r="AD67" s="22">
        <f>SUM(E67:AC67)</f>
        <v/>
      </c>
    </row>
    <row r="68">
      <c r="A68" s="17" t="inlineStr">
        <is>
          <t>8.5</t>
        </is>
      </c>
      <c r="B68" s="18" t="inlineStr">
        <is>
          <t>SUMINISTRO E INSTALACIÓN DE VÁLVULA DE REGISTRO TIPO BOLA EN PVC PRESIÓN Ø 3/4".</t>
        </is>
      </c>
      <c r="C68" s="19" t="n">
        <v>0.0007256446716555144</v>
      </c>
      <c r="D68" s="20" t="n">
        <v>2</v>
      </c>
      <c r="E68" s="21" t="n"/>
      <c r="F68" s="21" t="n"/>
      <c r="G68" s="21" t="n"/>
      <c r="H68" s="21" t="n"/>
      <c r="I68" s="21" t="n"/>
      <c r="J68" s="21" t="n"/>
      <c r="K68" s="21" t="n"/>
      <c r="L68" s="21" t="n"/>
      <c r="M68" s="21" t="n"/>
      <c r="N68" s="21" t="n"/>
      <c r="O68" s="21" t="n"/>
      <c r="P68" s="21" t="n"/>
      <c r="Q68" s="21" t="n"/>
      <c r="R68" s="21" t="n"/>
      <c r="S68" s="21" t="n"/>
      <c r="T68" s="21" t="n"/>
      <c r="U68" s="21" t="n"/>
      <c r="V68" s="21" t="inlineStr">
        <is>
          <t>P</t>
        </is>
      </c>
      <c r="W68" s="21" t="n"/>
      <c r="X68" s="21" t="n"/>
      <c r="Y68" s="21" t="n"/>
      <c r="Z68" s="21" t="n"/>
      <c r="AA68" s="21" t="n"/>
      <c r="AB68" s="21" t="n"/>
      <c r="AC68" s="21" t="n"/>
      <c r="AD68" s="22">
        <f>SUM(E68:AC68)</f>
        <v/>
      </c>
    </row>
    <row r="69">
      <c r="A69" s="17" t="inlineStr">
        <is>
          <t>8.6</t>
        </is>
      </c>
      <c r="B69" s="18" t="inlineStr">
        <is>
          <t>SUMINISTRO E INSTALACIÓN DE VÁLVULA CHEQUE TIPO CORTINA Ø 1".</t>
        </is>
      </c>
      <c r="C69" s="19" t="n">
        <v>0.0004326330408358461</v>
      </c>
      <c r="D69" s="20" t="n">
        <v>1</v>
      </c>
      <c r="E69" s="21" t="n"/>
      <c r="F69" s="21" t="n"/>
      <c r="G69" s="21" t="n"/>
      <c r="H69" s="21" t="n"/>
      <c r="I69" s="21" t="n"/>
      <c r="J69" s="21" t="n"/>
      <c r="K69" s="21" t="n"/>
      <c r="L69" s="21" t="n"/>
      <c r="M69" s="21" t="n"/>
      <c r="N69" s="21" t="n"/>
      <c r="O69" s="21" t="n"/>
      <c r="P69" s="21" t="n"/>
      <c r="Q69" s="21" t="n"/>
      <c r="R69" s="21" t="n"/>
      <c r="S69" s="21" t="n"/>
      <c r="T69" s="21" t="n"/>
      <c r="U69" s="21" t="n"/>
      <c r="V69" s="21" t="inlineStr">
        <is>
          <t>P</t>
        </is>
      </c>
      <c r="W69" s="21" t="n"/>
      <c r="X69" s="21" t="n"/>
      <c r="Y69" s="21" t="n"/>
      <c r="Z69" s="21" t="n"/>
      <c r="AA69" s="21" t="n"/>
      <c r="AB69" s="21" t="n"/>
      <c r="AC69" s="21" t="n"/>
      <c r="AD69" s="22">
        <f>SUM(E69:AC69)</f>
        <v/>
      </c>
    </row>
    <row r="70">
      <c r="A70" s="17" t="inlineStr">
        <is>
          <t>8.7</t>
        </is>
      </c>
      <c r="B70" s="18" t="inlineStr">
        <is>
          <t>SUMINISTRO E INSTALACIÓN DE VÁLVULA DE BOLA ROSCADA EN ACERO INOXIDABLE Ø 1".</t>
        </is>
      </c>
      <c r="C70" s="19" t="n">
        <v>0.0001539503712315117</v>
      </c>
      <c r="D70" s="20" t="n">
        <v>1</v>
      </c>
      <c r="E70" s="21" t="n"/>
      <c r="F70" s="21" t="n"/>
      <c r="G70" s="21" t="n"/>
      <c r="H70" s="21" t="n"/>
      <c r="I70" s="21" t="n"/>
      <c r="J70" s="21" t="n"/>
      <c r="K70" s="21" t="n"/>
      <c r="L70" s="21" t="n"/>
      <c r="M70" s="21" t="n"/>
      <c r="N70" s="21" t="n"/>
      <c r="O70" s="21" t="n"/>
      <c r="P70" s="21" t="n"/>
      <c r="Q70" s="21" t="n"/>
      <c r="R70" s="21" t="n"/>
      <c r="S70" s="21" t="n"/>
      <c r="T70" s="21" t="n"/>
      <c r="U70" s="21" t="n"/>
      <c r="V70" s="21" t="inlineStr">
        <is>
          <t>P</t>
        </is>
      </c>
      <c r="W70" s="21" t="n"/>
      <c r="X70" s="21" t="n"/>
      <c r="Y70" s="21" t="n"/>
      <c r="Z70" s="21" t="n"/>
      <c r="AA70" s="21" t="n"/>
      <c r="AB70" s="21" t="n"/>
      <c r="AC70" s="21" t="n"/>
      <c r="AD70" s="22">
        <f>SUM(E70:AC70)</f>
        <v/>
      </c>
    </row>
    <row r="71">
      <c r="A71" s="17" t="inlineStr">
        <is>
          <t>8.8</t>
        </is>
      </c>
      <c r="B71" s="18" t="inlineStr">
        <is>
          <t>SUMINISTRO E INSTALACIÓN DE VÁLVULA FLOTADORA EN BRONCE Ø 1" CON BOLA DE COBRE.</t>
        </is>
      </c>
      <c r="C71" s="19" t="n">
        <v>0.0001213348480404169</v>
      </c>
      <c r="D71" s="20" t="n">
        <v>1</v>
      </c>
      <c r="E71" s="21" t="n"/>
      <c r="F71" s="21" t="n"/>
      <c r="G71" s="21" t="n"/>
      <c r="H71" s="21" t="n"/>
      <c r="I71" s="21" t="n"/>
      <c r="J71" s="21" t="n"/>
      <c r="K71" s="21" t="n"/>
      <c r="L71" s="21" t="n"/>
      <c r="M71" s="21" t="n"/>
      <c r="N71" s="21" t="n"/>
      <c r="O71" s="21" t="n"/>
      <c r="P71" s="21" t="n"/>
      <c r="Q71" s="21" t="n"/>
      <c r="R71" s="21" t="n"/>
      <c r="S71" s="21" t="n"/>
      <c r="T71" s="21" t="n"/>
      <c r="U71" s="21" t="n"/>
      <c r="V71" s="21" t="inlineStr">
        <is>
          <t>P</t>
        </is>
      </c>
      <c r="W71" s="21" t="n"/>
      <c r="X71" s="21" t="n"/>
      <c r="Y71" s="21" t="n"/>
      <c r="Z71" s="21" t="n"/>
      <c r="AA71" s="21" t="n"/>
      <c r="AB71" s="21" t="n"/>
      <c r="AC71" s="21" t="n"/>
      <c r="AD71" s="22">
        <f>SUM(E71:AC71)</f>
        <v/>
      </c>
    </row>
    <row r="72">
      <c r="A72" s="17" t="inlineStr">
        <is>
          <t>8.9</t>
        </is>
      </c>
      <c r="B72" s="18" t="inlineStr">
        <is>
          <t>SUMINISTRO E INSTALACIÓN DE CAJA PARA MEDICIÓN DE CONSUMO DE ACUEDUCTO.</t>
        </is>
      </c>
      <c r="C72" s="19" t="n">
        <v>0.000149337894205036</v>
      </c>
      <c r="D72" s="20" t="n">
        <v>1</v>
      </c>
      <c r="E72" s="21" t="n"/>
      <c r="F72" s="21" t="n"/>
      <c r="G72" s="21" t="n"/>
      <c r="H72" s="21" t="n"/>
      <c r="I72" s="21" t="n"/>
      <c r="J72" s="21" t="n"/>
      <c r="K72" s="21" t="n"/>
      <c r="L72" s="21" t="n"/>
      <c r="M72" s="21" t="n"/>
      <c r="N72" s="21" t="n"/>
      <c r="O72" s="21" t="n"/>
      <c r="P72" s="21" t="n"/>
      <c r="Q72" s="21" t="n"/>
      <c r="R72" s="21" t="n"/>
      <c r="S72" s="21" t="n"/>
      <c r="T72" s="21" t="n"/>
      <c r="U72" s="21" t="n"/>
      <c r="V72" s="21" t="inlineStr">
        <is>
          <t>P</t>
        </is>
      </c>
      <c r="W72" s="21" t="n"/>
      <c r="X72" s="21" t="n"/>
      <c r="Y72" s="21" t="n"/>
      <c r="Z72" s="21" t="n"/>
      <c r="AA72" s="21" t="n"/>
      <c r="AB72" s="21" t="n"/>
      <c r="AC72" s="21" t="n"/>
      <c r="AD72" s="22">
        <f>SUM(E72:AC72)</f>
        <v/>
      </c>
    </row>
    <row r="73">
      <c r="A73" s="17" t="inlineStr">
        <is>
          <t>8.10</t>
        </is>
      </c>
      <c r="B73" s="18" t="inlineStr">
        <is>
          <t>SUMINISTRO E INSTALACIÓN DE TANQUE DE ALMACENAMIENTO DE AGUA DE 2.000 L, INCLUYE ACCESORIOS DE CONTROL Y CONEXIÓN.</t>
        </is>
      </c>
      <c r="C73" s="19" t="n">
        <v>0.0007411774714738128</v>
      </c>
      <c r="D73" s="20" t="n">
        <v>1</v>
      </c>
      <c r="E73" s="21" t="n"/>
      <c r="F73" s="21" t="n"/>
      <c r="G73" s="21" t="n"/>
      <c r="H73" s="21" t="n"/>
      <c r="I73" s="21" t="n"/>
      <c r="J73" s="21" t="n"/>
      <c r="K73" s="21" t="n"/>
      <c r="L73" s="21" t="n"/>
      <c r="M73" s="21" t="n"/>
      <c r="N73" s="21" t="n"/>
      <c r="O73" s="21" t="n"/>
      <c r="P73" s="21" t="n"/>
      <c r="Q73" s="21" t="n"/>
      <c r="R73" s="21" t="n"/>
      <c r="S73" s="21" t="n"/>
      <c r="T73" s="21" t="n"/>
      <c r="U73" s="21" t="n"/>
      <c r="V73" s="21" t="inlineStr">
        <is>
          <t>P</t>
        </is>
      </c>
      <c r="W73" s="21" t="n"/>
      <c r="X73" s="21" t="n"/>
      <c r="Y73" s="21" t="n"/>
      <c r="Z73" s="21" t="n"/>
      <c r="AA73" s="21" t="n"/>
      <c r="AB73" s="21" t="n"/>
      <c r="AC73" s="21" t="n"/>
      <c r="AD73" s="22">
        <f>SUM(E73:AC73)</f>
        <v/>
      </c>
    </row>
    <row r="74">
      <c r="A74" s="17" t="inlineStr">
        <is>
          <t>8.11</t>
        </is>
      </c>
      <c r="B74" s="18" t="inlineStr">
        <is>
          <t>EJECUCIÓN DE ACOMETIDA HIDRÁULICA PRINCIPAL, INCLUYE REGISTRO DE INSPECCIÓN CON TAPA.</t>
        </is>
      </c>
      <c r="C74" s="19" t="n">
        <v>0.0002443210583280229</v>
      </c>
      <c r="D74" s="20" t="n">
        <v>1</v>
      </c>
      <c r="E74" s="21" t="n"/>
      <c r="F74" s="21" t="n"/>
      <c r="G74" s="21" t="n"/>
      <c r="H74" s="21" t="n"/>
      <c r="I74" s="21" t="n"/>
      <c r="J74" s="21" t="n"/>
      <c r="K74" s="21" t="n"/>
      <c r="L74" s="21" t="n"/>
      <c r="M74" s="21" t="n"/>
      <c r="N74" s="21" t="n"/>
      <c r="O74" s="21" t="n"/>
      <c r="P74" s="21" t="n"/>
      <c r="Q74" s="21" t="n"/>
      <c r="R74" s="21" t="n"/>
      <c r="S74" s="21" t="n"/>
      <c r="T74" s="21" t="n"/>
      <c r="U74" s="21" t="n"/>
      <c r="V74" s="21" t="inlineStr">
        <is>
          <t>P</t>
        </is>
      </c>
      <c r="W74" s="21" t="n"/>
      <c r="X74" s="21" t="n"/>
      <c r="Y74" s="21" t="n"/>
      <c r="Z74" s="21" t="n"/>
      <c r="AA74" s="21" t="n"/>
      <c r="AB74" s="21" t="n"/>
      <c r="AC74" s="21" t="n"/>
      <c r="AD74" s="22">
        <f>SUM(E74:AC74)</f>
        <v/>
      </c>
    </row>
    <row r="75">
      <c r="A75" s="17" t="inlineStr">
        <is>
          <t>8.12</t>
        </is>
      </c>
      <c r="B75" s="18" t="inlineStr">
        <is>
          <t>SUMINISTRO E INSTALACIÓN DE EXTINTOR MULTIPROPÓSITO ABC DE 10 LB.</t>
        </is>
      </c>
      <c r="C75" s="19" t="n">
        <v>0.0002322796888074175</v>
      </c>
      <c r="D75" s="20" t="n">
        <v>1</v>
      </c>
      <c r="E75" s="21" t="n"/>
      <c r="F75" s="21" t="n"/>
      <c r="G75" s="21" t="n"/>
      <c r="H75" s="21" t="n"/>
      <c r="I75" s="21" t="n"/>
      <c r="J75" s="21" t="n"/>
      <c r="K75" s="21" t="n"/>
      <c r="L75" s="21" t="n"/>
      <c r="M75" s="21" t="n"/>
      <c r="N75" s="21" t="n"/>
      <c r="O75" s="21" t="n"/>
      <c r="P75" s="21" t="n"/>
      <c r="Q75" s="21" t="n"/>
      <c r="R75" s="21" t="n"/>
      <c r="S75" s="21" t="n"/>
      <c r="T75" s="21" t="n"/>
      <c r="U75" s="21" t="n"/>
      <c r="V75" s="21" t="inlineStr">
        <is>
          <t>P</t>
        </is>
      </c>
      <c r="W75" s="21" t="n"/>
      <c r="X75" s="21" t="n"/>
      <c r="Y75" s="21" t="n"/>
      <c r="Z75" s="21" t="n"/>
      <c r="AA75" s="21" t="n"/>
      <c r="AB75" s="21" t="n"/>
      <c r="AC75" s="21" t="n"/>
      <c r="AD75" s="22">
        <f>SUM(E75:AC75)</f>
        <v/>
      </c>
    </row>
    <row r="76">
      <c r="A76" s="12" t="inlineStr">
        <is>
          <t>9</t>
        </is>
      </c>
      <c r="B76" s="13" t="inlineStr">
        <is>
          <t>REDES SANITARIAS</t>
        </is>
      </c>
      <c r="C76" s="14">
        <f>SUM(C77:C87)</f>
        <v/>
      </c>
      <c r="D76" s="15" t="n"/>
      <c r="E76" s="16" t="n"/>
      <c r="F76" s="16" t="n"/>
      <c r="G76" s="16" t="n"/>
      <c r="H76" s="16" t="n"/>
      <c r="I76" s="16" t="n"/>
      <c r="J76" s="16" t="n"/>
      <c r="K76" s="16" t="n"/>
      <c r="L76" s="16" t="n"/>
      <c r="M76" s="16" t="n"/>
      <c r="N76" s="16" t="n"/>
      <c r="O76" s="16" t="n"/>
      <c r="P76" s="16" t="n"/>
      <c r="Q76" s="16" t="n"/>
      <c r="R76" s="16" t="n"/>
      <c r="S76" s="16" t="n"/>
      <c r="T76" s="16" t="n"/>
      <c r="U76" s="16" t="n"/>
      <c r="V76" s="16" t="n"/>
      <c r="W76" s="16" t="n"/>
      <c r="X76" s="16" t="n"/>
      <c r="Y76" s="16" t="n"/>
      <c r="Z76" s="16" t="n"/>
      <c r="AA76" s="16" t="n"/>
      <c r="AB76" s="16" t="n"/>
      <c r="AC76" s="16" t="n"/>
      <c r="AD76" s="16" t="n"/>
    </row>
    <row r="77">
      <c r="A77" s="17" t="inlineStr">
        <is>
          <t>9.1</t>
        </is>
      </c>
      <c r="B77" s="18" t="inlineStr">
        <is>
          <t>SUMINISTRO E INSTALACIÓN DE TUBERÍA SANITARIA PVC Ø 2", INCLUYE ACCESORIOS Y SOPORTES.</t>
        </is>
      </c>
      <c r="C77" s="19" t="n">
        <v>0.001894260180328465</v>
      </c>
      <c r="D77" s="20" t="n">
        <v>7</v>
      </c>
      <c r="E77" s="21" t="n"/>
      <c r="F77" s="21" t="n"/>
      <c r="G77" s="21" t="n"/>
      <c r="H77" s="21" t="n"/>
      <c r="I77" s="21" t="n"/>
      <c r="J77" s="21" t="n"/>
      <c r="K77" s="21" t="n"/>
      <c r="L77" s="21" t="n"/>
      <c r="M77" s="21" t="n"/>
      <c r="N77" s="21" t="n"/>
      <c r="O77" s="21" t="inlineStr">
        <is>
          <t>P</t>
        </is>
      </c>
      <c r="P77" s="21" t="inlineStr">
        <is>
          <t>P</t>
        </is>
      </c>
      <c r="Q77" s="21" t="n"/>
      <c r="R77" s="21" t="n"/>
      <c r="S77" s="21" t="n"/>
      <c r="T77" s="21" t="n"/>
      <c r="U77" s="21" t="n"/>
      <c r="V77" s="21" t="n"/>
      <c r="W77" s="21" t="n"/>
      <c r="X77" s="21" t="n"/>
      <c r="Y77" s="21" t="n"/>
      <c r="Z77" s="21" t="n"/>
      <c r="AA77" s="21" t="n"/>
      <c r="AB77" s="21" t="n"/>
      <c r="AC77" s="21" t="n"/>
      <c r="AD77" s="22">
        <f>SUM(E77:AC77)</f>
        <v/>
      </c>
    </row>
    <row r="78">
      <c r="A78" s="17" t="inlineStr">
        <is>
          <t>9.2</t>
        </is>
      </c>
      <c r="B78" s="18" t="inlineStr">
        <is>
          <t>SUMINISTRO E INSTALACIÓN DE TUBERÍA SANITARIA PVC Ø 4", INCLUYE ACCESORIOS Y SOPORTES.</t>
        </is>
      </c>
      <c r="C78" s="19" t="n">
        <v>0.00112899773219522</v>
      </c>
      <c r="D78" s="20" t="n">
        <v>4</v>
      </c>
      <c r="E78" s="21" t="n"/>
      <c r="F78" s="21" t="n"/>
      <c r="G78" s="21" t="n"/>
      <c r="H78" s="21" t="n"/>
      <c r="I78" s="21" t="n"/>
      <c r="J78" s="21" t="n"/>
      <c r="K78" s="21" t="n"/>
      <c r="L78" s="21" t="n"/>
      <c r="M78" s="21" t="n"/>
      <c r="N78" s="21" t="n"/>
      <c r="O78" s="21" t="inlineStr">
        <is>
          <t>P</t>
        </is>
      </c>
      <c r="P78" s="21" t="inlineStr">
        <is>
          <t>P</t>
        </is>
      </c>
      <c r="Q78" s="21" t="n"/>
      <c r="R78" s="21" t="n"/>
      <c r="S78" s="21" t="n"/>
      <c r="T78" s="21" t="n"/>
      <c r="U78" s="21" t="n"/>
      <c r="V78" s="21" t="n"/>
      <c r="W78" s="21" t="n"/>
      <c r="X78" s="21" t="n"/>
      <c r="Y78" s="21" t="n"/>
      <c r="Z78" s="21" t="n"/>
      <c r="AA78" s="21" t="n"/>
      <c r="AB78" s="21" t="n"/>
      <c r="AC78" s="21" t="n"/>
      <c r="AD78" s="22">
        <f>SUM(E78:AC78)</f>
        <v/>
      </c>
    </row>
    <row r="79">
      <c r="A79" s="17" t="inlineStr">
        <is>
          <t>9.3</t>
        </is>
      </c>
      <c r="B79" s="18" t="inlineStr">
        <is>
          <t>SUMINISTRO E INSTALACIÓN DE TUBERÍA SANITARIA PVC CORRUGADA TIPO NOVAFORT Ø 6", INCLUYE ACCESORIOS Y SOPORTES.</t>
        </is>
      </c>
      <c r="C79" s="19" t="n">
        <v>0.005868996621092766</v>
      </c>
      <c r="D79" s="20" t="n">
        <v>7</v>
      </c>
      <c r="E79" s="21" t="n"/>
      <c r="F79" s="21" t="n"/>
      <c r="G79" s="21" t="n"/>
      <c r="H79" s="21" t="n"/>
      <c r="I79" s="21" t="n"/>
      <c r="J79" s="21" t="n"/>
      <c r="K79" s="21" t="n"/>
      <c r="L79" s="21" t="n"/>
      <c r="M79" s="21" t="n"/>
      <c r="N79" s="21" t="n"/>
      <c r="O79" s="21" t="inlineStr">
        <is>
          <t>P</t>
        </is>
      </c>
      <c r="P79" s="21" t="inlineStr">
        <is>
          <t>P</t>
        </is>
      </c>
      <c r="Q79" s="21" t="n"/>
      <c r="R79" s="21" t="n"/>
      <c r="S79" s="21" t="n"/>
      <c r="T79" s="21" t="n"/>
      <c r="U79" s="21" t="n"/>
      <c r="V79" s="21" t="n"/>
      <c r="W79" s="21" t="n"/>
      <c r="X79" s="21" t="n"/>
      <c r="Y79" s="21" t="n"/>
      <c r="Z79" s="21" t="n"/>
      <c r="AA79" s="21" t="n"/>
      <c r="AB79" s="21" t="n"/>
      <c r="AC79" s="21" t="n"/>
      <c r="AD79" s="22">
        <f>SUM(E79:AC79)</f>
        <v/>
      </c>
    </row>
    <row r="80">
      <c r="A80" s="17" t="inlineStr">
        <is>
          <t>9.4</t>
        </is>
      </c>
      <c r="B80" s="18" t="inlineStr">
        <is>
          <t>SUMINISTRO E INSTALACIÓN DE TUBERÍA DE VENTILACIÓN SANITARIA EN PVC Ø 2", INCLUYE ACCESORIOS Y SOPORTES.</t>
        </is>
      </c>
      <c r="C80" s="19" t="n">
        <v>0.0009638465900215052</v>
      </c>
      <c r="D80" s="20" t="n">
        <v>4</v>
      </c>
      <c r="E80" s="21" t="n"/>
      <c r="F80" s="21" t="n"/>
      <c r="G80" s="21" t="n"/>
      <c r="H80" s="21" t="n"/>
      <c r="I80" s="21" t="n"/>
      <c r="J80" s="21" t="n"/>
      <c r="K80" s="21" t="n"/>
      <c r="L80" s="21" t="n"/>
      <c r="M80" s="21" t="n"/>
      <c r="N80" s="21" t="n"/>
      <c r="O80" s="21" t="inlineStr">
        <is>
          <t>P</t>
        </is>
      </c>
      <c r="P80" s="21" t="inlineStr">
        <is>
          <t>P</t>
        </is>
      </c>
      <c r="Q80" s="21" t="n"/>
      <c r="R80" s="21" t="n"/>
      <c r="S80" s="21" t="n"/>
      <c r="T80" s="21" t="n"/>
      <c r="U80" s="21" t="n"/>
      <c r="V80" s="21" t="n"/>
      <c r="W80" s="21" t="n"/>
      <c r="X80" s="21" t="n"/>
      <c r="Y80" s="21" t="n"/>
      <c r="Z80" s="21" t="n"/>
      <c r="AA80" s="21" t="n"/>
      <c r="AB80" s="21" t="n"/>
      <c r="AC80" s="21" t="n"/>
      <c r="AD80" s="22">
        <f>SUM(E80:AC80)</f>
        <v/>
      </c>
    </row>
    <row r="81">
      <c r="A81" s="17" t="inlineStr">
        <is>
          <t>9.5</t>
        </is>
      </c>
      <c r="B81" s="18" t="inlineStr">
        <is>
          <t>EJECUCIÓN DE PUNTO SANITARIO EN PVC Ø 2".</t>
        </is>
      </c>
      <c r="C81" s="19" t="n">
        <v>0.0007848557791501418</v>
      </c>
      <c r="D81" s="20" t="n">
        <v>3</v>
      </c>
      <c r="E81" s="21" t="n"/>
      <c r="F81" s="21" t="n"/>
      <c r="G81" s="21" t="n"/>
      <c r="H81" s="21" t="n"/>
      <c r="I81" s="21" t="n"/>
      <c r="J81" s="21" t="n"/>
      <c r="K81" s="21" t="n"/>
      <c r="L81" s="21" t="n"/>
      <c r="M81" s="21" t="n"/>
      <c r="N81" s="21" t="n"/>
      <c r="O81" s="21" t="inlineStr">
        <is>
          <t>P</t>
        </is>
      </c>
      <c r="P81" s="21" t="inlineStr">
        <is>
          <t>P</t>
        </is>
      </c>
      <c r="Q81" s="21" t="n"/>
      <c r="R81" s="21" t="n"/>
      <c r="S81" s="21" t="n"/>
      <c r="T81" s="21" t="n"/>
      <c r="U81" s="21" t="n"/>
      <c r="V81" s="21" t="n"/>
      <c r="W81" s="21" t="n"/>
      <c r="X81" s="21" t="n"/>
      <c r="Y81" s="21" t="n"/>
      <c r="Z81" s="21" t="n"/>
      <c r="AA81" s="21" t="n"/>
      <c r="AB81" s="21" t="n"/>
      <c r="AC81" s="21" t="n"/>
      <c r="AD81" s="22">
        <f>SUM(E81:AC81)</f>
        <v/>
      </c>
    </row>
    <row r="82">
      <c r="A82" s="17" t="inlineStr">
        <is>
          <t>9.6</t>
        </is>
      </c>
      <c r="B82" s="18" t="inlineStr">
        <is>
          <t>EJECUCIÓN DE PUNTO SANITARIO EN PVC Ø 4".</t>
        </is>
      </c>
      <c r="C82" s="19" t="n">
        <v>0.000532633690883332</v>
      </c>
      <c r="D82" s="20" t="n">
        <v>3</v>
      </c>
      <c r="E82" s="21" t="n"/>
      <c r="F82" s="21" t="n"/>
      <c r="G82" s="21" t="n"/>
      <c r="H82" s="21" t="n"/>
      <c r="I82" s="21" t="n"/>
      <c r="J82" s="21" t="n"/>
      <c r="K82" s="21" t="n"/>
      <c r="L82" s="21" t="n"/>
      <c r="M82" s="21" t="n"/>
      <c r="N82" s="21" t="n"/>
      <c r="O82" s="21" t="inlineStr">
        <is>
          <t>P</t>
        </is>
      </c>
      <c r="P82" s="21" t="inlineStr">
        <is>
          <t>P</t>
        </is>
      </c>
      <c r="Q82" s="21" t="n"/>
      <c r="R82" s="21" t="n"/>
      <c r="S82" s="21" t="n"/>
      <c r="T82" s="21" t="n"/>
      <c r="U82" s="21" t="n"/>
      <c r="V82" s="21" t="n"/>
      <c r="W82" s="21" t="n"/>
      <c r="X82" s="21" t="n"/>
      <c r="Y82" s="21" t="n"/>
      <c r="Z82" s="21" t="n"/>
      <c r="AA82" s="21" t="n"/>
      <c r="AB82" s="21" t="n"/>
      <c r="AC82" s="21" t="n"/>
      <c r="AD82" s="22">
        <f>SUM(E82:AC82)</f>
        <v/>
      </c>
    </row>
    <row r="83">
      <c r="A83" s="17" t="inlineStr">
        <is>
          <t>9.7</t>
        </is>
      </c>
      <c r="B83" s="18" t="inlineStr">
        <is>
          <t>EJECUCIÓN DE PUNTO SANITARIO SIFONADO EN PVC Ø 2".</t>
        </is>
      </c>
      <c r="C83" s="19" t="n">
        <v>0.0002093336598225373</v>
      </c>
      <c r="D83" s="20" t="n">
        <v>1</v>
      </c>
      <c r="E83" s="21" t="n"/>
      <c r="F83" s="21" t="n"/>
      <c r="G83" s="21" t="n"/>
      <c r="H83" s="21" t="n"/>
      <c r="I83" s="21" t="n"/>
      <c r="J83" s="21" t="n"/>
      <c r="K83" s="21" t="n"/>
      <c r="L83" s="21" t="n"/>
      <c r="M83" s="21" t="n"/>
      <c r="N83" s="21" t="n"/>
      <c r="O83" s="21" t="inlineStr">
        <is>
          <t>P</t>
        </is>
      </c>
      <c r="P83" s="21" t="n"/>
      <c r="Q83" s="21" t="n"/>
      <c r="R83" s="21" t="n"/>
      <c r="S83" s="21" t="n"/>
      <c r="T83" s="21" t="n"/>
      <c r="U83" s="21" t="n"/>
      <c r="V83" s="21" t="n"/>
      <c r="W83" s="21" t="n"/>
      <c r="X83" s="21" t="n"/>
      <c r="Y83" s="21" t="n"/>
      <c r="Z83" s="21" t="n"/>
      <c r="AA83" s="21" t="n"/>
      <c r="AB83" s="21" t="n"/>
      <c r="AC83" s="21" t="n"/>
      <c r="AD83" s="22">
        <f>SUM(E83:AC83)</f>
        <v/>
      </c>
    </row>
    <row r="84">
      <c r="A84" s="17" t="inlineStr">
        <is>
          <t>9.8</t>
        </is>
      </c>
      <c r="B84" s="18" t="inlineStr">
        <is>
          <t>SUMINISTRO E INSTALACIÓN DE TRAMPA DE GRASAS 40 X 60 CM CON MARCO Y TAPA.</t>
        </is>
      </c>
      <c r="C84" s="19" t="n">
        <v>0.0005181853900295382</v>
      </c>
      <c r="D84" s="20" t="n">
        <v>1</v>
      </c>
      <c r="E84" s="21" t="n"/>
      <c r="F84" s="21" t="n"/>
      <c r="G84" s="21" t="n"/>
      <c r="H84" s="21" t="n"/>
      <c r="I84" s="21" t="n"/>
      <c r="J84" s="21" t="n"/>
      <c r="K84" s="21" t="n"/>
      <c r="L84" s="21" t="n"/>
      <c r="M84" s="21" t="n"/>
      <c r="N84" s="21" t="n"/>
      <c r="O84" s="21" t="inlineStr">
        <is>
          <t>P</t>
        </is>
      </c>
      <c r="P84" s="21" t="n"/>
      <c r="Q84" s="21" t="n"/>
      <c r="R84" s="21" t="n"/>
      <c r="S84" s="21" t="n"/>
      <c r="T84" s="21" t="n"/>
      <c r="U84" s="21" t="n"/>
      <c r="V84" s="21" t="n"/>
      <c r="W84" s="21" t="n"/>
      <c r="X84" s="21" t="n"/>
      <c r="Y84" s="21" t="n"/>
      <c r="Z84" s="21" t="n"/>
      <c r="AA84" s="21" t="n"/>
      <c r="AB84" s="21" t="n"/>
      <c r="AC84" s="21" t="n"/>
      <c r="AD84" s="22">
        <f>SUM(E84:AC84)</f>
        <v/>
      </c>
    </row>
    <row r="85">
      <c r="A85" s="17" t="inlineStr">
        <is>
          <t>9.9</t>
        </is>
      </c>
      <c r="B85" s="18" t="inlineStr">
        <is>
          <t>SUMINISTRO E INSTALACIÓN DE CAJA DE INSPECCIÓN SANITARIA 60 X 60 CM CON MARCO Y TAPA.</t>
        </is>
      </c>
      <c r="C85" s="19" t="n">
        <v>0.002039004244325535</v>
      </c>
      <c r="D85" s="20" t="n">
        <v>3</v>
      </c>
      <c r="E85" s="21" t="n"/>
      <c r="F85" s="21" t="n"/>
      <c r="G85" s="21" t="n"/>
      <c r="H85" s="21" t="n"/>
      <c r="I85" s="21" t="n"/>
      <c r="J85" s="21" t="n"/>
      <c r="K85" s="21" t="n"/>
      <c r="L85" s="21" t="n"/>
      <c r="M85" s="21" t="n"/>
      <c r="N85" s="21" t="n"/>
      <c r="O85" s="21" t="inlineStr">
        <is>
          <t>P</t>
        </is>
      </c>
      <c r="P85" s="21" t="inlineStr">
        <is>
          <t>P</t>
        </is>
      </c>
      <c r="Q85" s="21" t="n"/>
      <c r="R85" s="21" t="n"/>
      <c r="S85" s="21" t="n"/>
      <c r="T85" s="21" t="n"/>
      <c r="U85" s="21" t="n"/>
      <c r="V85" s="21" t="n"/>
      <c r="W85" s="21" t="n"/>
      <c r="X85" s="21" t="n"/>
      <c r="Y85" s="21" t="n"/>
      <c r="Z85" s="21" t="n"/>
      <c r="AA85" s="21" t="n"/>
      <c r="AB85" s="21" t="n"/>
      <c r="AC85" s="21" t="n"/>
      <c r="AD85" s="22">
        <f>SUM(E85:AC85)</f>
        <v/>
      </c>
    </row>
    <row r="86">
      <c r="A86" s="17" t="inlineStr">
        <is>
          <t>9.10</t>
        </is>
      </c>
      <c r="B86" s="18" t="inlineStr">
        <is>
          <t>SUMINISTRO E INSTALACIÓN REGISTRO SANITARIO 1 M ALCANTARILLADO MUNICIPAL Incluye Suministro transporte y construccion de concreto de 3000 psi para muros y losa de fondo de espesor 10cm y seccion 60x60, concreto para tapa de espesor 5 cm y seccion 70x70, tapa con manija en varila de 1/2" y refuerzo en acero G60, losa de fondo y tapa. la excavacion esta en su respectivo item</t>
        </is>
      </c>
      <c r="C86" s="19" t="n">
        <v>0.001628198423364007</v>
      </c>
      <c r="D86" s="20" t="n">
        <v>5</v>
      </c>
      <c r="E86" s="21" t="n"/>
      <c r="F86" s="21" t="n"/>
      <c r="G86" s="21" t="n"/>
      <c r="H86" s="21" t="n"/>
      <c r="I86" s="21" t="n"/>
      <c r="J86" s="21" t="n"/>
      <c r="K86" s="21" t="n"/>
      <c r="L86" s="21" t="n"/>
      <c r="M86" s="21" t="n"/>
      <c r="N86" s="21" t="n"/>
      <c r="O86" s="21" t="inlineStr">
        <is>
          <t>P</t>
        </is>
      </c>
      <c r="P86" s="21" t="inlineStr">
        <is>
          <t>P</t>
        </is>
      </c>
      <c r="Q86" s="21" t="n"/>
      <c r="R86" s="21" t="n"/>
      <c r="S86" s="21" t="n"/>
      <c r="T86" s="21" t="n"/>
      <c r="U86" s="21" t="n"/>
      <c r="V86" s="21" t="n"/>
      <c r="W86" s="21" t="n"/>
      <c r="X86" s="21" t="n"/>
      <c r="Y86" s="21" t="n"/>
      <c r="Z86" s="21" t="n"/>
      <c r="AA86" s="21" t="n"/>
      <c r="AB86" s="21" t="n"/>
      <c r="AC86" s="21" t="n"/>
      <c r="AD86" s="22">
        <f>SUM(E86:AC86)</f>
        <v/>
      </c>
    </row>
    <row r="87">
      <c r="A87" s="17" t="inlineStr">
        <is>
          <t>9.11</t>
        </is>
      </c>
      <c r="B87" s="18" t="inlineStr">
        <is>
          <t>SUMINISTRO E INSTALACIÓN DE BRIDA SANITARIA.</t>
        </is>
      </c>
      <c r="C87" s="19" t="n">
        <v>0.0001798194754859195</v>
      </c>
      <c r="D87" s="20" t="n">
        <v>1</v>
      </c>
      <c r="E87" s="21" t="n"/>
      <c r="F87" s="21" t="n"/>
      <c r="G87" s="21" t="n"/>
      <c r="H87" s="21" t="n"/>
      <c r="I87" s="21" t="n"/>
      <c r="J87" s="21" t="n"/>
      <c r="K87" s="21" t="n"/>
      <c r="L87" s="21" t="n"/>
      <c r="M87" s="21" t="n"/>
      <c r="N87" s="21" t="n"/>
      <c r="O87" s="21" t="inlineStr">
        <is>
          <t>P</t>
        </is>
      </c>
      <c r="P87" s="21" t="n"/>
      <c r="Q87" s="21" t="n"/>
      <c r="R87" s="21" t="n"/>
      <c r="S87" s="21" t="n"/>
      <c r="T87" s="21" t="n"/>
      <c r="U87" s="21" t="n"/>
      <c r="V87" s="21" t="n"/>
      <c r="W87" s="21" t="n"/>
      <c r="X87" s="21" t="n"/>
      <c r="Y87" s="21" t="n"/>
      <c r="Z87" s="21" t="n"/>
      <c r="AA87" s="21" t="n"/>
      <c r="AB87" s="21" t="n"/>
      <c r="AC87" s="21" t="n"/>
      <c r="AD87" s="22">
        <f>SUM(E87:AC87)</f>
        <v/>
      </c>
    </row>
    <row r="88">
      <c r="A88" s="12" t="inlineStr">
        <is>
          <t>10</t>
        </is>
      </c>
      <c r="B88" s="13" t="inlineStr">
        <is>
          <t>REDES PLUVIALES</t>
        </is>
      </c>
      <c r="C88" s="14">
        <f>SUM(C89:C93)</f>
        <v/>
      </c>
      <c r="D88" s="15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  <c r="AA88" s="16" t="n"/>
      <c r="AB88" s="16" t="n"/>
      <c r="AC88" s="16" t="n"/>
      <c r="AD88" s="16" t="n"/>
    </row>
    <row r="89">
      <c r="A89" s="17" t="inlineStr">
        <is>
          <t>10.1</t>
        </is>
      </c>
      <c r="B89" s="18" t="inlineStr">
        <is>
          <t>SUMINISTRO E INSTALACIÓN DE TUBERÍA PVC Ø 3" PARA DRENAJE PLUVIAL, INCLUYE CAMA DE ARENA.</t>
        </is>
      </c>
      <c r="C89" s="19" t="n">
        <v>0.001288905389004103</v>
      </c>
      <c r="D89" s="20" t="n">
        <v>15</v>
      </c>
      <c r="E89" s="21" t="n"/>
      <c r="F89" s="21" t="n"/>
      <c r="G89" s="21" t="n"/>
      <c r="H89" s="21" t="n"/>
      <c r="I89" s="21" t="n"/>
      <c r="J89" s="21" t="n"/>
      <c r="K89" s="21" t="n"/>
      <c r="L89" s="21" t="n"/>
      <c r="M89" s="21" t="n"/>
      <c r="N89" s="21" t="n"/>
      <c r="O89" s="21" t="inlineStr">
        <is>
          <t>P</t>
        </is>
      </c>
      <c r="P89" s="21" t="inlineStr">
        <is>
          <t>P</t>
        </is>
      </c>
      <c r="Q89" s="21" t="inlineStr">
        <is>
          <t>P</t>
        </is>
      </c>
      <c r="R89" s="21" t="inlineStr">
        <is>
          <t>P</t>
        </is>
      </c>
      <c r="S89" s="21" t="n"/>
      <c r="T89" s="21" t="n"/>
      <c r="U89" s="21" t="n"/>
      <c r="V89" s="21" t="n"/>
      <c r="W89" s="21" t="n"/>
      <c r="X89" s="21" t="n"/>
      <c r="Y89" s="21" t="n"/>
      <c r="Z89" s="21" t="n"/>
      <c r="AA89" s="21" t="n"/>
      <c r="AB89" s="21" t="n"/>
      <c r="AC89" s="21" t="n"/>
      <c r="AD89" s="22">
        <f>SUM(E89:AC89)</f>
        <v/>
      </c>
    </row>
    <row r="90">
      <c r="A90" s="17" t="inlineStr">
        <is>
          <t>10.2</t>
        </is>
      </c>
      <c r="B90" s="18" t="inlineStr">
        <is>
          <t>SUMINISTRO E INSTALACIÓN DE TUBERÍA PVC Ø 4" PARA DRENAJE PLUVIAL, INCLUYE CAMA DE ARENA.</t>
        </is>
      </c>
      <c r="C90" s="19" t="n">
        <v>0.005185438564685622</v>
      </c>
      <c r="D90" s="20" t="n">
        <v>10</v>
      </c>
      <c r="E90" s="21" t="n"/>
      <c r="F90" s="21" t="n"/>
      <c r="G90" s="21" t="n"/>
      <c r="H90" s="21" t="n"/>
      <c r="I90" s="21" t="n"/>
      <c r="J90" s="21" t="n"/>
      <c r="K90" s="21" t="n"/>
      <c r="L90" s="21" t="n"/>
      <c r="M90" s="21" t="n"/>
      <c r="N90" s="21" t="n"/>
      <c r="O90" s="21" t="inlineStr">
        <is>
          <t>P</t>
        </is>
      </c>
      <c r="P90" s="21" t="inlineStr">
        <is>
          <t>P</t>
        </is>
      </c>
      <c r="Q90" s="21" t="inlineStr">
        <is>
          <t>P</t>
        </is>
      </c>
      <c r="R90" s="21" t="n"/>
      <c r="S90" s="21" t="n"/>
      <c r="T90" s="21" t="n"/>
      <c r="U90" s="21" t="n"/>
      <c r="V90" s="21" t="n"/>
      <c r="W90" s="21" t="n"/>
      <c r="X90" s="21" t="n"/>
      <c r="Y90" s="21" t="n"/>
      <c r="Z90" s="21" t="n"/>
      <c r="AA90" s="21" t="n"/>
      <c r="AB90" s="21" t="n"/>
      <c r="AC90" s="21" t="n"/>
      <c r="AD90" s="22">
        <f>SUM(E90:AC90)</f>
        <v/>
      </c>
    </row>
    <row r="91">
      <c r="A91" s="17" t="inlineStr">
        <is>
          <t>10.3</t>
        </is>
      </c>
      <c r="B91" s="18" t="inlineStr">
        <is>
          <t>SUMINISTRO E INSTALACIÓN DE REJILLA CAPTADORA TIPO DOMO.</t>
        </is>
      </c>
      <c r="C91" s="19" t="n">
        <v>6.052309764494599e-05</v>
      </c>
      <c r="D91" s="20" t="n">
        <v>1</v>
      </c>
      <c r="E91" s="21" t="n"/>
      <c r="F91" s="21" t="n"/>
      <c r="G91" s="21" t="n"/>
      <c r="H91" s="21" t="n"/>
      <c r="I91" s="21" t="n"/>
      <c r="J91" s="21" t="n"/>
      <c r="K91" s="21" t="n"/>
      <c r="L91" s="21" t="n"/>
      <c r="M91" s="21" t="n"/>
      <c r="N91" s="21" t="n"/>
      <c r="O91" s="21" t="inlineStr">
        <is>
          <t>P</t>
        </is>
      </c>
      <c r="P91" s="21" t="n"/>
      <c r="Q91" s="21" t="n"/>
      <c r="R91" s="21" t="n"/>
      <c r="S91" s="21" t="n"/>
      <c r="T91" s="21" t="n"/>
      <c r="U91" s="21" t="n"/>
      <c r="V91" s="21" t="n"/>
      <c r="W91" s="21" t="n"/>
      <c r="X91" s="21" t="n"/>
      <c r="Y91" s="21" t="n"/>
      <c r="Z91" s="21" t="n"/>
      <c r="AA91" s="21" t="n"/>
      <c r="AB91" s="21" t="n"/>
      <c r="AC91" s="21" t="n"/>
      <c r="AD91" s="22">
        <f>SUM(E91:AC91)</f>
        <v/>
      </c>
    </row>
    <row r="92">
      <c r="A92" s="17" t="inlineStr">
        <is>
          <t>10.4</t>
        </is>
      </c>
      <c r="B92" s="18" t="inlineStr">
        <is>
          <t>SUMINISTRO E INSTALACIÓN DE CÁRCAMO DE RECOLECCIÓN DE AGUAS LLUVIAS DE 0,40 X 0,40 M.</t>
        </is>
      </c>
      <c r="C92" s="19" t="n">
        <v>0.005515361945680941</v>
      </c>
      <c r="D92" s="20" t="n">
        <v>9</v>
      </c>
      <c r="E92" s="21" t="n"/>
      <c r="F92" s="21" t="n"/>
      <c r="G92" s="21" t="n"/>
      <c r="H92" s="21" t="n"/>
      <c r="I92" s="21" t="n"/>
      <c r="J92" s="21" t="n"/>
      <c r="K92" s="21" t="n"/>
      <c r="L92" s="21" t="n"/>
      <c r="M92" s="21" t="n"/>
      <c r="N92" s="21" t="n"/>
      <c r="O92" s="21" t="inlineStr">
        <is>
          <t>P</t>
        </is>
      </c>
      <c r="P92" s="21" t="inlineStr">
        <is>
          <t>P</t>
        </is>
      </c>
      <c r="Q92" s="21" t="inlineStr">
        <is>
          <t>P</t>
        </is>
      </c>
      <c r="R92" s="21" t="n"/>
      <c r="S92" s="21" t="n"/>
      <c r="T92" s="21" t="n"/>
      <c r="U92" s="21" t="n"/>
      <c r="V92" s="21" t="n"/>
      <c r="W92" s="21" t="n"/>
      <c r="X92" s="21" t="n"/>
      <c r="Y92" s="21" t="n"/>
      <c r="Z92" s="21" t="n"/>
      <c r="AA92" s="21" t="n"/>
      <c r="AB92" s="21" t="n"/>
      <c r="AC92" s="21" t="n"/>
      <c r="AD92" s="22">
        <f>SUM(E92:AC92)</f>
        <v/>
      </c>
    </row>
    <row r="93">
      <c r="A93" s="17" t="inlineStr">
        <is>
          <t>10.5</t>
        </is>
      </c>
      <c r="B93" s="18" t="inlineStr">
        <is>
          <t>SUMINISTRO E INSTALACIÓN DE VIGA CANAL FABRICADA EN LÁMINA GALVANIZADA.</t>
        </is>
      </c>
      <c r="C93" s="19" t="n">
        <v>0.002416113697907891</v>
      </c>
      <c r="D93" s="20" t="n">
        <v>3</v>
      </c>
      <c r="E93" s="21" t="n"/>
      <c r="F93" s="21" t="n"/>
      <c r="G93" s="21" t="n"/>
      <c r="H93" s="21" t="n"/>
      <c r="I93" s="21" t="n"/>
      <c r="J93" s="21" t="n"/>
      <c r="K93" s="21" t="n"/>
      <c r="L93" s="21" t="n"/>
      <c r="M93" s="21" t="n"/>
      <c r="N93" s="21" t="n"/>
      <c r="O93" s="21" t="inlineStr">
        <is>
          <t>P</t>
        </is>
      </c>
      <c r="P93" s="21" t="inlineStr">
        <is>
          <t>P</t>
        </is>
      </c>
      <c r="Q93" s="21" t="n"/>
      <c r="R93" s="21" t="n"/>
      <c r="S93" s="21" t="n"/>
      <c r="T93" s="21" t="n"/>
      <c r="U93" s="21" t="n"/>
      <c r="V93" s="21" t="n"/>
      <c r="W93" s="21" t="n"/>
      <c r="X93" s="21" t="n"/>
      <c r="Y93" s="21" t="n"/>
      <c r="Z93" s="21" t="n"/>
      <c r="AA93" s="21" t="n"/>
      <c r="AB93" s="21" t="n"/>
      <c r="AC93" s="21" t="n"/>
      <c r="AD93" s="22">
        <f>SUM(E93:AC93)</f>
        <v/>
      </c>
    </row>
    <row r="94">
      <c r="A94" s="12" t="inlineStr">
        <is>
          <t>11</t>
        </is>
      </c>
      <c r="B94" s="13" t="inlineStr">
        <is>
          <t>DOTACIÓN SANITARIA, GRIFERÍAS Y ACCESORIOS</t>
        </is>
      </c>
      <c r="C94" s="14">
        <f>SUM(C95:C107)</f>
        <v/>
      </c>
      <c r="D94" s="15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  <c r="AA94" s="16" t="n"/>
      <c r="AB94" s="16" t="n"/>
      <c r="AC94" s="16" t="n"/>
      <c r="AD94" s="16" t="n"/>
    </row>
    <row r="95">
      <c r="A95" s="17" t="inlineStr">
        <is>
          <t>11.1</t>
        </is>
      </c>
      <c r="B95" s="18" t="inlineStr">
        <is>
          <t>SUMINISTRO E INSTALACIÓN DE GRIFERÍA CON SIFÓN PARA LAVAMANOS DE EMPOTRAR.</t>
        </is>
      </c>
      <c r="C95" s="19" t="n">
        <v>0.0007509573548456028</v>
      </c>
      <c r="D95" s="20" t="n">
        <v>3</v>
      </c>
      <c r="E95" s="21" t="n"/>
      <c r="F95" s="21" t="n"/>
      <c r="G95" s="21" t="n"/>
      <c r="H95" s="21" t="n"/>
      <c r="I95" s="21" t="n"/>
      <c r="J95" s="21" t="n"/>
      <c r="K95" s="21" t="n"/>
      <c r="L95" s="21" t="n"/>
      <c r="M95" s="21" t="n"/>
      <c r="N95" s="21" t="n"/>
      <c r="O95" s="21" t="n"/>
      <c r="P95" s="21" t="n"/>
      <c r="Q95" s="21" t="n"/>
      <c r="R95" s="21" t="n"/>
      <c r="S95" s="21" t="n"/>
      <c r="T95" s="21" t="n"/>
      <c r="U95" s="21" t="n"/>
      <c r="V95" s="21" t="n"/>
      <c r="W95" s="21" t="n"/>
      <c r="X95" s="21" t="n"/>
      <c r="Y95" s="21" t="n"/>
      <c r="Z95" s="21" t="inlineStr">
        <is>
          <t>P</t>
        </is>
      </c>
      <c r="AA95" s="21" t="n"/>
      <c r="AB95" s="21" t="n"/>
      <c r="AC95" s="21" t="n"/>
      <c r="AD95" s="22">
        <f>SUM(E95:AC95)</f>
        <v/>
      </c>
    </row>
    <row r="96">
      <c r="A96" s="17" t="inlineStr">
        <is>
          <t>11.2</t>
        </is>
      </c>
      <c r="B96" s="18" t="inlineStr">
        <is>
          <t>SUMINISTRO E INSTALACIÓN DE SANITARIO PARA PERSONAS CON MOVILIDAD REDUCIDA, INCLUYE ACCESORIOS DE FIJACIÓN.</t>
        </is>
      </c>
      <c r="C96" s="19" t="n">
        <v>0.001746167147727114</v>
      </c>
      <c r="D96" s="20" t="n">
        <v>2</v>
      </c>
      <c r="E96" s="21" t="n"/>
      <c r="F96" s="21" t="n"/>
      <c r="G96" s="21" t="n"/>
      <c r="H96" s="21" t="n"/>
      <c r="I96" s="21" t="n"/>
      <c r="J96" s="21" t="n"/>
      <c r="K96" s="21" t="n"/>
      <c r="L96" s="21" t="n"/>
      <c r="M96" s="21" t="n"/>
      <c r="N96" s="21" t="n"/>
      <c r="O96" s="21" t="n"/>
      <c r="P96" s="21" t="n"/>
      <c r="Q96" s="21" t="n"/>
      <c r="R96" s="21" t="n"/>
      <c r="S96" s="21" t="n"/>
      <c r="T96" s="21" t="n"/>
      <c r="U96" s="21" t="n"/>
      <c r="V96" s="21" t="n"/>
      <c r="W96" s="21" t="n"/>
      <c r="X96" s="21" t="n"/>
      <c r="Y96" s="21" t="n"/>
      <c r="Z96" s="21" t="inlineStr">
        <is>
          <t>P</t>
        </is>
      </c>
      <c r="AA96" s="21" t="n"/>
      <c r="AB96" s="21" t="n"/>
      <c r="AC96" s="21" t="n"/>
      <c r="AD96" s="22">
        <f>SUM(E96:AC96)</f>
        <v/>
      </c>
    </row>
    <row r="97">
      <c r="A97" s="17" t="inlineStr">
        <is>
          <t>11.3</t>
        </is>
      </c>
      <c r="B97" s="18" t="inlineStr">
        <is>
          <t>SUMINISTRO E INSTALACIÓN DE SANITARIO CONVENCIONAL, INCLUYE ELEMENTOS DE ANCLAJE Y FIJACIÓN.</t>
        </is>
      </c>
      <c r="C97" s="19" t="n">
        <v>0.001890912703469664</v>
      </c>
      <c r="D97" s="20" t="n">
        <v>3</v>
      </c>
      <c r="E97" s="21" t="n"/>
      <c r="F97" s="21" t="n"/>
      <c r="G97" s="21" t="n"/>
      <c r="H97" s="21" t="n"/>
      <c r="I97" s="21" t="n"/>
      <c r="J97" s="21" t="n"/>
      <c r="K97" s="21" t="n"/>
      <c r="L97" s="21" t="n"/>
      <c r="M97" s="21" t="n"/>
      <c r="N97" s="21" t="n"/>
      <c r="O97" s="21" t="n"/>
      <c r="P97" s="21" t="n"/>
      <c r="Q97" s="21" t="n"/>
      <c r="R97" s="21" t="n"/>
      <c r="S97" s="21" t="n"/>
      <c r="T97" s="21" t="n"/>
      <c r="U97" s="21" t="n"/>
      <c r="V97" s="21" t="n"/>
      <c r="W97" s="21" t="n"/>
      <c r="X97" s="21" t="n"/>
      <c r="Y97" s="21" t="n"/>
      <c r="Z97" s="21" t="inlineStr">
        <is>
          <t>P</t>
        </is>
      </c>
      <c r="AA97" s="21" t="n"/>
      <c r="AB97" s="21" t="n"/>
      <c r="AC97" s="21" t="n"/>
      <c r="AD97" s="22">
        <f>SUM(E97:AC97)</f>
        <v/>
      </c>
    </row>
    <row r="98">
      <c r="A98" s="17" t="inlineStr">
        <is>
          <t>11.4</t>
        </is>
      </c>
      <c r="B98" s="18" t="inlineStr">
        <is>
          <t>SUMINISTRO E INSTALACIÓN DE FLOTADOR MECÁNICO Ø 1".</t>
        </is>
      </c>
      <c r="C98" s="19" t="n">
        <v>0.000151827617412406</v>
      </c>
      <c r="D98" s="20" t="n">
        <v>1</v>
      </c>
      <c r="E98" s="21" t="n"/>
      <c r="F98" s="21" t="n"/>
      <c r="G98" s="21" t="n"/>
      <c r="H98" s="21" t="n"/>
      <c r="I98" s="21" t="n"/>
      <c r="J98" s="21" t="n"/>
      <c r="K98" s="21" t="n"/>
      <c r="L98" s="21" t="n"/>
      <c r="M98" s="21" t="n"/>
      <c r="N98" s="21" t="n"/>
      <c r="O98" s="21" t="n"/>
      <c r="P98" s="21" t="n"/>
      <c r="Q98" s="21" t="n"/>
      <c r="R98" s="21" t="n"/>
      <c r="S98" s="21" t="n"/>
      <c r="T98" s="21" t="n"/>
      <c r="U98" s="21" t="n"/>
      <c r="V98" s="21" t="n"/>
      <c r="W98" s="21" t="n"/>
      <c r="X98" s="21" t="n"/>
      <c r="Y98" s="21" t="n"/>
      <c r="Z98" s="21" t="inlineStr">
        <is>
          <t>P</t>
        </is>
      </c>
      <c r="AA98" s="21" t="n"/>
      <c r="AB98" s="21" t="n"/>
      <c r="AC98" s="21" t="n"/>
      <c r="AD98" s="22">
        <f>SUM(E98:AC98)</f>
        <v/>
      </c>
    </row>
    <row r="99">
      <c r="A99" s="17" t="inlineStr">
        <is>
          <t>11.5</t>
        </is>
      </c>
      <c r="B99" s="18" t="inlineStr">
        <is>
          <t>SUMINISTRO E INSTALACIÓN DE REJILLA DE PISO CON SOSCO.</t>
        </is>
      </c>
      <c r="C99" s="19" t="n">
        <v>0.0009582667160507638</v>
      </c>
      <c r="D99" s="20" t="n">
        <v>4</v>
      </c>
      <c r="E99" s="21" t="n"/>
      <c r="F99" s="21" t="n"/>
      <c r="G99" s="21" t="n"/>
      <c r="H99" s="21" t="n"/>
      <c r="I99" s="21" t="n"/>
      <c r="J99" s="21" t="n"/>
      <c r="K99" s="21" t="n"/>
      <c r="L99" s="21" t="n"/>
      <c r="M99" s="21" t="n"/>
      <c r="N99" s="21" t="n"/>
      <c r="O99" s="21" t="n"/>
      <c r="P99" s="21" t="n"/>
      <c r="Q99" s="21" t="n"/>
      <c r="R99" s="21" t="n"/>
      <c r="S99" s="21" t="n"/>
      <c r="T99" s="21" t="n"/>
      <c r="U99" s="21" t="n"/>
      <c r="V99" s="21" t="n"/>
      <c r="W99" s="21" t="n"/>
      <c r="X99" s="21" t="n"/>
      <c r="Y99" s="21" t="n"/>
      <c r="Z99" s="21" t="inlineStr">
        <is>
          <t>P</t>
        </is>
      </c>
      <c r="AA99" s="21" t="n"/>
      <c r="AB99" s="21" t="n"/>
      <c r="AC99" s="21" t="n"/>
      <c r="AD99" s="22">
        <f>SUM(E99:AC99)</f>
        <v/>
      </c>
    </row>
    <row r="100">
      <c r="A100" s="17" t="inlineStr">
        <is>
          <t>11.6</t>
        </is>
      </c>
      <c r="B100" s="18" t="inlineStr">
        <is>
          <t>SUMINISTRO E INSTALACIÓN DE GRIFERÍA MONOCONTROL TIPO CUELLO DE GANSO PARA POCETA Y LAVAMANOS.</t>
        </is>
      </c>
      <c r="C100" s="19" t="n">
        <v>0.001725268539414562</v>
      </c>
      <c r="D100" s="20" t="n">
        <v>5</v>
      </c>
      <c r="E100" s="21" t="n"/>
      <c r="F100" s="21" t="n"/>
      <c r="G100" s="21" t="n"/>
      <c r="H100" s="21" t="n"/>
      <c r="I100" s="21" t="n"/>
      <c r="J100" s="21" t="n"/>
      <c r="K100" s="21" t="n"/>
      <c r="L100" s="21" t="n"/>
      <c r="M100" s="21" t="n"/>
      <c r="N100" s="21" t="n"/>
      <c r="O100" s="21" t="n"/>
      <c r="P100" s="21" t="n"/>
      <c r="Q100" s="21" t="n"/>
      <c r="R100" s="21" t="n"/>
      <c r="S100" s="21" t="n"/>
      <c r="T100" s="21" t="n"/>
      <c r="U100" s="21" t="n"/>
      <c r="V100" s="21" t="n"/>
      <c r="W100" s="21" t="n"/>
      <c r="X100" s="21" t="n"/>
      <c r="Y100" s="21" t="n"/>
      <c r="Z100" s="21" t="inlineStr">
        <is>
          <t>P</t>
        </is>
      </c>
      <c r="AA100" s="21" t="inlineStr">
        <is>
          <t>P</t>
        </is>
      </c>
      <c r="AB100" s="21" t="n"/>
      <c r="AC100" s="21" t="n"/>
      <c r="AD100" s="22">
        <f>SUM(E100:AC100)</f>
        <v/>
      </c>
    </row>
    <row r="101">
      <c r="A101" s="17" t="inlineStr">
        <is>
          <t>11.7</t>
        </is>
      </c>
      <c r="B101" s="18" t="inlineStr">
        <is>
          <t>SUMINISTRO E INSTALACIÓN DE BARRA DE APOYO PARA BAÑO ACCESIBLE DE 1,00 M.</t>
        </is>
      </c>
      <c r="C101" s="19" t="n">
        <v>0.001673553452960698</v>
      </c>
      <c r="D101" s="20" t="n">
        <v>3</v>
      </c>
      <c r="E101" s="21" t="n"/>
      <c r="F101" s="21" t="n"/>
      <c r="G101" s="21" t="n"/>
      <c r="H101" s="21" t="n"/>
      <c r="I101" s="21" t="n"/>
      <c r="J101" s="21" t="n"/>
      <c r="K101" s="21" t="n"/>
      <c r="L101" s="21" t="n"/>
      <c r="M101" s="21" t="n"/>
      <c r="N101" s="21" t="n"/>
      <c r="O101" s="21" t="n"/>
      <c r="P101" s="21" t="n"/>
      <c r="Q101" s="21" t="n"/>
      <c r="R101" s="21" t="n"/>
      <c r="S101" s="21" t="n"/>
      <c r="T101" s="21" t="n"/>
      <c r="U101" s="21" t="n"/>
      <c r="V101" s="21" t="n"/>
      <c r="W101" s="21" t="n"/>
      <c r="X101" s="21" t="n"/>
      <c r="Y101" s="21" t="n"/>
      <c r="Z101" s="21" t="inlineStr">
        <is>
          <t>P</t>
        </is>
      </c>
      <c r="AA101" s="21" t="n"/>
      <c r="AB101" s="21" t="n"/>
      <c r="AC101" s="21" t="n"/>
      <c r="AD101" s="22">
        <f>SUM(E101:AC101)</f>
        <v/>
      </c>
    </row>
    <row r="102">
      <c r="A102" s="17" t="inlineStr">
        <is>
          <t>11.8</t>
        </is>
      </c>
      <c r="B102" s="18" t="inlineStr">
        <is>
          <t>SUMINISTRO E INSTALACIÓN DE ESPEJO PARA BAÑO DE 1,00 X 0,60 M.</t>
        </is>
      </c>
      <c r="C102" s="19" t="n">
        <v>0.0005145432934382896</v>
      </c>
      <c r="D102" s="20" t="n">
        <v>2</v>
      </c>
      <c r="E102" s="21" t="n"/>
      <c r="F102" s="21" t="n"/>
      <c r="G102" s="21" t="n"/>
      <c r="H102" s="21" t="n"/>
      <c r="I102" s="21" t="n"/>
      <c r="J102" s="21" t="n"/>
      <c r="K102" s="21" t="n"/>
      <c r="L102" s="21" t="n"/>
      <c r="M102" s="21" t="n"/>
      <c r="N102" s="21" t="n"/>
      <c r="O102" s="21" t="n"/>
      <c r="P102" s="21" t="n"/>
      <c r="Q102" s="21" t="n"/>
      <c r="R102" s="21" t="n"/>
      <c r="S102" s="21" t="n"/>
      <c r="T102" s="21" t="n"/>
      <c r="U102" s="21" t="n"/>
      <c r="V102" s="21" t="n"/>
      <c r="W102" s="21" t="n"/>
      <c r="X102" s="21" t="n"/>
      <c r="Y102" s="21" t="n"/>
      <c r="Z102" s="21" t="inlineStr">
        <is>
          <t>P</t>
        </is>
      </c>
      <c r="AA102" s="21" t="n"/>
      <c r="AB102" s="21" t="n"/>
      <c r="AC102" s="21" t="n"/>
      <c r="AD102" s="22">
        <f>SUM(E102:AC102)</f>
        <v/>
      </c>
    </row>
    <row r="103">
      <c r="A103" s="17" t="inlineStr">
        <is>
          <t>11.9</t>
        </is>
      </c>
      <c r="B103" s="18" t="inlineStr">
        <is>
          <t>SUMINISTRO E INSTALACIÓN DE ORINAL CON SUS RESPECTIVOS ACCESORIOS.</t>
        </is>
      </c>
      <c r="C103" s="19" t="n">
        <v>0.00109109247952939</v>
      </c>
      <c r="D103" s="20" t="n">
        <v>3</v>
      </c>
      <c r="E103" s="21" t="n"/>
      <c r="F103" s="21" t="n"/>
      <c r="G103" s="21" t="n"/>
      <c r="H103" s="21" t="n"/>
      <c r="I103" s="21" t="n"/>
      <c r="J103" s="21" t="n"/>
      <c r="K103" s="21" t="n"/>
      <c r="L103" s="21" t="n"/>
      <c r="M103" s="21" t="n"/>
      <c r="N103" s="21" t="n"/>
      <c r="O103" s="21" t="n"/>
      <c r="P103" s="21" t="n"/>
      <c r="Q103" s="21" t="n"/>
      <c r="R103" s="21" t="n"/>
      <c r="S103" s="21" t="n"/>
      <c r="T103" s="21" t="n"/>
      <c r="U103" s="21" t="n"/>
      <c r="V103" s="21" t="n"/>
      <c r="W103" s="21" t="n"/>
      <c r="X103" s="21" t="n"/>
      <c r="Y103" s="21" t="n"/>
      <c r="Z103" s="21" t="inlineStr">
        <is>
          <t>P</t>
        </is>
      </c>
      <c r="AA103" s="21" t="n"/>
      <c r="AB103" s="21" t="n"/>
      <c r="AC103" s="21" t="n"/>
      <c r="AD103" s="22">
        <f>SUM(E103:AC103)</f>
        <v/>
      </c>
    </row>
    <row r="104">
      <c r="A104" s="17" t="inlineStr">
        <is>
          <t>11.10</t>
        </is>
      </c>
      <c r="B104" s="18" t="inlineStr">
        <is>
          <t>SUMINISTRO E INSTALACIÓN DE LLAVE TERMINAL TIPO JARDÍN.</t>
        </is>
      </c>
      <c r="C104" s="19" t="n">
        <v>0.0002234090243061439</v>
      </c>
      <c r="D104" s="20" t="n">
        <v>2</v>
      </c>
      <c r="E104" s="21" t="n"/>
      <c r="F104" s="21" t="n"/>
      <c r="G104" s="21" t="n"/>
      <c r="H104" s="21" t="n"/>
      <c r="I104" s="21" t="n"/>
      <c r="J104" s="21" t="n"/>
      <c r="K104" s="21" t="n"/>
      <c r="L104" s="21" t="n"/>
      <c r="M104" s="21" t="n"/>
      <c r="N104" s="21" t="n"/>
      <c r="O104" s="21" t="n"/>
      <c r="P104" s="21" t="n"/>
      <c r="Q104" s="21" t="n"/>
      <c r="R104" s="21" t="n"/>
      <c r="S104" s="21" t="n"/>
      <c r="T104" s="21" t="n"/>
      <c r="U104" s="21" t="n"/>
      <c r="V104" s="21" t="n"/>
      <c r="W104" s="21" t="n"/>
      <c r="X104" s="21" t="n"/>
      <c r="Y104" s="21" t="n"/>
      <c r="Z104" s="21" t="inlineStr">
        <is>
          <t>P</t>
        </is>
      </c>
      <c r="AA104" s="21" t="n"/>
      <c r="AB104" s="21" t="n"/>
      <c r="AC104" s="21" t="n"/>
      <c r="AD104" s="22">
        <f>SUM(E104:AC104)</f>
        <v/>
      </c>
    </row>
    <row r="105">
      <c r="A105" s="17" t="inlineStr">
        <is>
          <t>11.11</t>
        </is>
      </c>
      <c r="B105" s="18" t="inlineStr">
        <is>
          <t>SUMINISTRO E INSTALACIÓN DE POCETA DE COCINA EN ACERO INOXIDABLE.</t>
        </is>
      </c>
      <c r="C105" s="19" t="n">
        <v>0.0002157339938076906</v>
      </c>
      <c r="D105" s="20" t="n">
        <v>1</v>
      </c>
      <c r="E105" s="21" t="n"/>
      <c r="F105" s="21" t="n"/>
      <c r="G105" s="21" t="n"/>
      <c r="H105" s="21" t="n"/>
      <c r="I105" s="21" t="n"/>
      <c r="J105" s="21" t="n"/>
      <c r="K105" s="21" t="n"/>
      <c r="L105" s="21" t="n"/>
      <c r="M105" s="21" t="n"/>
      <c r="N105" s="21" t="n"/>
      <c r="O105" s="21" t="n"/>
      <c r="P105" s="21" t="n"/>
      <c r="Q105" s="21" t="n"/>
      <c r="R105" s="21" t="n"/>
      <c r="S105" s="21" t="n"/>
      <c r="T105" s="21" t="n"/>
      <c r="U105" s="21" t="n"/>
      <c r="V105" s="21" t="n"/>
      <c r="W105" s="21" t="n"/>
      <c r="X105" s="21" t="n"/>
      <c r="Y105" s="21" t="n"/>
      <c r="Z105" s="21" t="inlineStr">
        <is>
          <t>P</t>
        </is>
      </c>
      <c r="AA105" s="21" t="n"/>
      <c r="AB105" s="21" t="n"/>
      <c r="AC105" s="21" t="n"/>
      <c r="AD105" s="22">
        <f>SUM(E105:AC105)</f>
        <v/>
      </c>
    </row>
    <row r="106">
      <c r="A106" s="17" t="inlineStr">
        <is>
          <t>11.12</t>
        </is>
      </c>
      <c r="B106" s="18" t="inlineStr">
        <is>
          <t>SUMINISTRO E INSTALACIÓN DE LAVAMANOS DE EMPOTRAR.</t>
        </is>
      </c>
      <c r="C106" s="19" t="n">
        <v>0.001677296242371897</v>
      </c>
      <c r="D106" s="20" t="n">
        <v>4</v>
      </c>
      <c r="E106" s="21" t="n"/>
      <c r="F106" s="21" t="n"/>
      <c r="G106" s="21" t="n"/>
      <c r="H106" s="21" t="n"/>
      <c r="I106" s="21" t="n"/>
      <c r="J106" s="21" t="n"/>
      <c r="K106" s="21" t="n"/>
      <c r="L106" s="21" t="n"/>
      <c r="M106" s="21" t="n"/>
      <c r="N106" s="21" t="n"/>
      <c r="O106" s="21" t="n"/>
      <c r="P106" s="21" t="n"/>
      <c r="Q106" s="21" t="n"/>
      <c r="R106" s="21" t="n"/>
      <c r="S106" s="21" t="n"/>
      <c r="T106" s="21" t="n"/>
      <c r="U106" s="21" t="n"/>
      <c r="V106" s="21" t="n"/>
      <c r="W106" s="21" t="n"/>
      <c r="X106" s="21" t="n"/>
      <c r="Y106" s="21" t="n"/>
      <c r="Z106" s="21" t="inlineStr">
        <is>
          <t>P</t>
        </is>
      </c>
      <c r="AA106" s="21" t="n"/>
      <c r="AB106" s="21" t="n"/>
      <c r="AC106" s="21" t="n"/>
      <c r="AD106" s="22">
        <f>SUM(E106:AC106)</f>
        <v/>
      </c>
    </row>
    <row r="107">
      <c r="A107" s="17" t="inlineStr">
        <is>
          <t>11.13</t>
        </is>
      </c>
      <c r="B107" s="18" t="inlineStr">
        <is>
          <t>SUMINSITRO E INSTALACION DE MESON PARA LAVAMANOS</t>
        </is>
      </c>
      <c r="C107" s="19" t="n">
        <v>0.0007789513013627894</v>
      </c>
      <c r="D107" s="20" t="n">
        <v>5</v>
      </c>
      <c r="E107" s="21" t="n"/>
      <c r="F107" s="21" t="n"/>
      <c r="G107" s="21" t="n"/>
      <c r="H107" s="21" t="n"/>
      <c r="I107" s="21" t="n"/>
      <c r="J107" s="21" t="n"/>
      <c r="K107" s="21" t="n"/>
      <c r="L107" s="21" t="n"/>
      <c r="M107" s="21" t="n"/>
      <c r="N107" s="21" t="n"/>
      <c r="O107" s="21" t="n"/>
      <c r="P107" s="21" t="n"/>
      <c r="Q107" s="21" t="n"/>
      <c r="R107" s="21" t="n"/>
      <c r="S107" s="21" t="n"/>
      <c r="T107" s="21" t="n"/>
      <c r="U107" s="21" t="n"/>
      <c r="V107" s="21" t="n"/>
      <c r="W107" s="21" t="n"/>
      <c r="X107" s="21" t="n"/>
      <c r="Y107" s="21" t="n"/>
      <c r="Z107" s="21" t="inlineStr">
        <is>
          <t>P</t>
        </is>
      </c>
      <c r="AA107" s="21" t="inlineStr">
        <is>
          <t>P</t>
        </is>
      </c>
      <c r="AB107" s="21" t="n"/>
      <c r="AC107" s="21" t="n"/>
      <c r="AD107" s="22">
        <f>SUM(E107:AC107)</f>
        <v/>
      </c>
    </row>
    <row r="108">
      <c r="A108" s="12" t="inlineStr">
        <is>
          <t>12</t>
        </is>
      </c>
      <c r="B108" s="13" t="inlineStr">
        <is>
          <t>REDES ELÉCTRICAS</t>
        </is>
      </c>
      <c r="C108" s="14">
        <f>SUM(C109:C120)</f>
        <v/>
      </c>
      <c r="D108" s="15" t="n"/>
      <c r="E108" s="16" t="n"/>
      <c r="F108" s="16" t="n"/>
      <c r="G108" s="16" t="n"/>
      <c r="H108" s="16" t="n"/>
      <c r="I108" s="16" t="n"/>
      <c r="J108" s="16" t="n"/>
      <c r="K108" s="16" t="n"/>
      <c r="L108" s="16" t="n"/>
      <c r="M108" s="16" t="n"/>
      <c r="N108" s="16" t="n"/>
      <c r="O108" s="16" t="n"/>
      <c r="P108" s="16" t="n"/>
      <c r="Q108" s="16" t="n"/>
      <c r="R108" s="16" t="n"/>
      <c r="S108" s="16" t="n"/>
      <c r="T108" s="16" t="n"/>
      <c r="U108" s="16" t="n"/>
      <c r="V108" s="16" t="n"/>
      <c r="W108" s="16" t="n"/>
      <c r="X108" s="16" t="n"/>
      <c r="Y108" s="16" t="n"/>
      <c r="Z108" s="16" t="n"/>
      <c r="AA108" s="16" t="n"/>
      <c r="AB108" s="16" t="n"/>
      <c r="AC108" s="16" t="n"/>
      <c r="AD108" s="16" t="n"/>
    </row>
    <row r="109">
      <c r="A109" s="17" t="inlineStr">
        <is>
          <t>12.1</t>
        </is>
      </c>
      <c r="B109" s="18" t="inlineStr">
        <is>
          <t>SUMINISTRO E INSTALACIÓN DE POSTE METÁLICO GALVANIZADO CON BRAZO SENCILLO DE 1,0 M, INCLUYE PLANTILLA DE ANCLAJE.</t>
        </is>
      </c>
      <c r="C109" s="19" t="n">
        <v>0.01839090360515735</v>
      </c>
      <c r="D109" s="20" t="n">
        <v>7</v>
      </c>
      <c r="E109" s="21" t="n"/>
      <c r="F109" s="21" t="n"/>
      <c r="G109" s="21" t="n"/>
      <c r="H109" s="21" t="n"/>
      <c r="I109" s="21" t="n"/>
      <c r="J109" s="21" t="n"/>
      <c r="K109" s="21" t="n"/>
      <c r="L109" s="21" t="n"/>
      <c r="M109" s="21" t="n"/>
      <c r="N109" s="21" t="n"/>
      <c r="O109" s="21" t="n"/>
      <c r="P109" s="21" t="n"/>
      <c r="Q109" s="21" t="n"/>
      <c r="R109" s="21" t="n"/>
      <c r="S109" s="21" t="n"/>
      <c r="T109" s="21" t="n"/>
      <c r="U109" s="21" t="n"/>
      <c r="V109" s="21" t="inlineStr">
        <is>
          <t>P</t>
        </is>
      </c>
      <c r="W109" s="21" t="inlineStr">
        <is>
          <t>P</t>
        </is>
      </c>
      <c r="X109" s="21" t="n"/>
      <c r="Y109" s="21" t="n"/>
      <c r="Z109" s="21" t="n"/>
      <c r="AA109" s="21" t="n"/>
      <c r="AB109" s="21" t="n"/>
      <c r="AC109" s="21" t="n"/>
      <c r="AD109" s="22">
        <f>SUM(E109:AC109)</f>
        <v/>
      </c>
    </row>
    <row r="110">
      <c r="A110" s="17" t="inlineStr">
        <is>
          <t>12.2</t>
        </is>
      </c>
      <c r="B110" s="18" t="inlineStr">
        <is>
          <t>CONSTRUCCIÓN DE DADO DE CONCRETO DE 3.000 PSI PARA ANCLAJE DE POSTE METÁLICO.</t>
        </is>
      </c>
      <c r="C110" s="19" t="n">
        <v>0.00616492685194552</v>
      </c>
      <c r="D110" s="20" t="n">
        <v>9</v>
      </c>
      <c r="E110" s="21" t="n"/>
      <c r="F110" s="21" t="n"/>
      <c r="G110" s="21" t="n"/>
      <c r="H110" s="21" t="n"/>
      <c r="I110" s="21" t="n"/>
      <c r="J110" s="21" t="n"/>
      <c r="K110" s="21" t="n"/>
      <c r="L110" s="21" t="n"/>
      <c r="M110" s="21" t="n"/>
      <c r="N110" s="21" t="n"/>
      <c r="O110" s="21" t="n"/>
      <c r="P110" s="21" t="n"/>
      <c r="Q110" s="21" t="n"/>
      <c r="R110" s="21" t="n"/>
      <c r="S110" s="21" t="n"/>
      <c r="T110" s="21" t="n"/>
      <c r="U110" s="21" t="n"/>
      <c r="V110" s="21" t="inlineStr">
        <is>
          <t>P</t>
        </is>
      </c>
      <c r="W110" s="21" t="inlineStr">
        <is>
          <t>P</t>
        </is>
      </c>
      <c r="X110" s="21" t="n"/>
      <c r="Y110" s="21" t="n"/>
      <c r="Z110" s="21" t="n"/>
      <c r="AA110" s="21" t="n"/>
      <c r="AB110" s="21" t="n"/>
      <c r="AC110" s="21" t="n"/>
      <c r="AD110" s="22">
        <f>SUM(E110:AC110)</f>
        <v/>
      </c>
    </row>
    <row r="111">
      <c r="A111" s="17" t="inlineStr">
        <is>
          <t>12.3</t>
        </is>
      </c>
      <c r="B111" s="18" t="inlineStr">
        <is>
          <t>SUMINISTRO E INSTALACIÓN DE TABLERO GENERAL DE DISTRIBUCIÓN CON SISTEMA DE PROTECCIONES.</t>
        </is>
      </c>
      <c r="C111" s="19" t="n">
        <v>0.000609122940408734</v>
      </c>
      <c r="D111" s="20" t="n">
        <v>3</v>
      </c>
      <c r="E111" s="21" t="n"/>
      <c r="F111" s="21" t="n"/>
      <c r="G111" s="21" t="n"/>
      <c r="H111" s="21" t="n"/>
      <c r="I111" s="21" t="n"/>
      <c r="J111" s="21" t="n"/>
      <c r="K111" s="21" t="n"/>
      <c r="L111" s="21" t="n"/>
      <c r="M111" s="21" t="n"/>
      <c r="N111" s="21" t="n"/>
      <c r="O111" s="21" t="n"/>
      <c r="P111" s="21" t="n"/>
      <c r="Q111" s="21" t="n"/>
      <c r="R111" s="21" t="n"/>
      <c r="S111" s="21" t="n"/>
      <c r="T111" s="21" t="n"/>
      <c r="U111" s="21" t="n"/>
      <c r="V111" s="21" t="inlineStr">
        <is>
          <t>P</t>
        </is>
      </c>
      <c r="W111" s="21" t="n"/>
      <c r="X111" s="21" t="n"/>
      <c r="Y111" s="21" t="n"/>
      <c r="Z111" s="21" t="n"/>
      <c r="AA111" s="21" t="n"/>
      <c r="AB111" s="21" t="n"/>
      <c r="AC111" s="21" t="n"/>
      <c r="AD111" s="22">
        <f>SUM(E111:AC111)</f>
        <v/>
      </c>
    </row>
    <row r="112">
      <c r="A112" s="17" t="inlineStr">
        <is>
          <t>12.4</t>
        </is>
      </c>
      <c r="B112" s="18" t="inlineStr">
        <is>
          <t>SUMINISTRO E INSTALACIÓN DE TABLERO SECUNDARIO DE 8 A 12 CIRCUITOS CON BREAKERS.</t>
        </is>
      </c>
      <c r="C112" s="19" t="n">
        <v>0.0003484926287396829</v>
      </c>
      <c r="D112" s="20" t="n">
        <v>2</v>
      </c>
      <c r="E112" s="21" t="n"/>
      <c r="F112" s="21" t="n"/>
      <c r="G112" s="21" t="n"/>
      <c r="H112" s="21" t="n"/>
      <c r="I112" s="21" t="n"/>
      <c r="J112" s="21" t="n"/>
      <c r="K112" s="21" t="n"/>
      <c r="L112" s="21" t="n"/>
      <c r="M112" s="21" t="n"/>
      <c r="N112" s="21" t="n"/>
      <c r="O112" s="21" t="n"/>
      <c r="P112" s="21" t="n"/>
      <c r="Q112" s="21" t="n"/>
      <c r="R112" s="21" t="n"/>
      <c r="S112" s="21" t="n"/>
      <c r="T112" s="21" t="n"/>
      <c r="U112" s="21" t="n"/>
      <c r="V112" s="21" t="inlineStr">
        <is>
          <t>P</t>
        </is>
      </c>
      <c r="W112" s="21" t="n"/>
      <c r="X112" s="21" t="n"/>
      <c r="Y112" s="21" t="n"/>
      <c r="Z112" s="21" t="n"/>
      <c r="AA112" s="21" t="n"/>
      <c r="AB112" s="21" t="n"/>
      <c r="AC112" s="21" t="n"/>
      <c r="AD112" s="22">
        <f>SUM(E112:AC112)</f>
        <v/>
      </c>
    </row>
    <row r="113">
      <c r="A113" s="17" t="inlineStr">
        <is>
          <t>12.5</t>
        </is>
      </c>
      <c r="B113" s="18" t="inlineStr">
        <is>
          <t>CONSTRUCCIÓN DE RED ELÉCTRICA SUBTERRÁNEA EN BAJA TENSIÓN CON CONDUCTOR #6 AWG Y DUCTERÍA PVC SCH 40.</t>
        </is>
      </c>
      <c r="C113" s="19" t="n">
        <v>0.001258355933303845</v>
      </c>
      <c r="D113" s="20" t="n">
        <v>2</v>
      </c>
      <c r="E113" s="21" t="n"/>
      <c r="F113" s="21" t="n"/>
      <c r="G113" s="21" t="n"/>
      <c r="H113" s="21" t="n"/>
      <c r="I113" s="21" t="n"/>
      <c r="J113" s="21" t="n"/>
      <c r="K113" s="21" t="n"/>
      <c r="L113" s="21" t="n"/>
      <c r="M113" s="21" t="n"/>
      <c r="N113" s="21" t="n"/>
      <c r="O113" s="21" t="n"/>
      <c r="P113" s="21" t="n"/>
      <c r="Q113" s="21" t="n"/>
      <c r="R113" s="21" t="n"/>
      <c r="S113" s="21" t="n"/>
      <c r="T113" s="21" t="n"/>
      <c r="U113" s="21" t="n"/>
      <c r="V113" s="21" t="inlineStr">
        <is>
          <t>P</t>
        </is>
      </c>
      <c r="W113" s="21" t="n"/>
      <c r="X113" s="21" t="n"/>
      <c r="Y113" s="21" t="n"/>
      <c r="Z113" s="21" t="n"/>
      <c r="AA113" s="21" t="n"/>
      <c r="AB113" s="21" t="n"/>
      <c r="AC113" s="21" t="n"/>
      <c r="AD113" s="22">
        <f>SUM(E113:AC113)</f>
        <v/>
      </c>
    </row>
    <row r="114">
      <c r="A114" s="17" t="inlineStr">
        <is>
          <t>12.6</t>
        </is>
      </c>
      <c r="B114" s="18" t="inlineStr">
        <is>
          <t>EJECUCIÓN DE SALIDA PARA TOMACORRIENTE NORMAL, INCLUYE APARATO Y ELEMENTOS DE FIJACIÓN.</t>
        </is>
      </c>
      <c r="C114" s="19" t="n">
        <v>0.00149160525667375</v>
      </c>
      <c r="D114" s="20" t="n">
        <v>5</v>
      </c>
      <c r="E114" s="21" t="n"/>
      <c r="F114" s="21" t="n"/>
      <c r="G114" s="21" t="n"/>
      <c r="H114" s="21" t="n"/>
      <c r="I114" s="21" t="n"/>
      <c r="J114" s="21" t="n"/>
      <c r="K114" s="21" t="n"/>
      <c r="L114" s="21" t="n"/>
      <c r="M114" s="21" t="n"/>
      <c r="N114" s="21" t="n"/>
      <c r="O114" s="21" t="n"/>
      <c r="P114" s="21" t="n"/>
      <c r="Q114" s="21" t="n"/>
      <c r="R114" s="21" t="n"/>
      <c r="S114" s="21" t="n"/>
      <c r="T114" s="21" t="n"/>
      <c r="U114" s="21" t="n"/>
      <c r="V114" s="21" t="inlineStr">
        <is>
          <t>P</t>
        </is>
      </c>
      <c r="W114" s="21" t="inlineStr">
        <is>
          <t>P</t>
        </is>
      </c>
      <c r="X114" s="21" t="n"/>
      <c r="Y114" s="21" t="n"/>
      <c r="Z114" s="21" t="n"/>
      <c r="AA114" s="21" t="n"/>
      <c r="AB114" s="21" t="n"/>
      <c r="AC114" s="21" t="n"/>
      <c r="AD114" s="22">
        <f>SUM(E114:AC114)</f>
        <v/>
      </c>
    </row>
    <row r="115">
      <c r="A115" s="17" t="inlineStr">
        <is>
          <t>12.7</t>
        </is>
      </c>
      <c r="B115" s="18" t="inlineStr">
        <is>
          <t>SUMINISTRO E INSTALACIÓN DE SISTEMA DE PUESTA A TIERRA CON ELECTRODO DE DIFUSIÓN VERTICAL DE 2,40 M.</t>
        </is>
      </c>
      <c r="C115" s="19" t="n">
        <v>0.005754963867180616</v>
      </c>
      <c r="D115" s="20" t="n">
        <v>8</v>
      </c>
      <c r="E115" s="21" t="n"/>
      <c r="F115" s="21" t="n"/>
      <c r="G115" s="21" t="n"/>
      <c r="H115" s="21" t="n"/>
      <c r="I115" s="21" t="n"/>
      <c r="J115" s="21" t="n"/>
      <c r="K115" s="21" t="n"/>
      <c r="L115" s="21" t="n"/>
      <c r="M115" s="21" t="n"/>
      <c r="N115" s="21" t="n"/>
      <c r="O115" s="21" t="n"/>
      <c r="P115" s="21" t="n"/>
      <c r="Q115" s="21" t="n"/>
      <c r="R115" s="21" t="n"/>
      <c r="S115" s="21" t="n"/>
      <c r="T115" s="21" t="n"/>
      <c r="U115" s="21" t="n"/>
      <c r="V115" s="21" t="inlineStr">
        <is>
          <t>P</t>
        </is>
      </c>
      <c r="W115" s="21" t="inlineStr">
        <is>
          <t>P</t>
        </is>
      </c>
      <c r="X115" s="21" t="n"/>
      <c r="Y115" s="21" t="n"/>
      <c r="Z115" s="21" t="n"/>
      <c r="AA115" s="21" t="n"/>
      <c r="AB115" s="21" t="n"/>
      <c r="AC115" s="21" t="n"/>
      <c r="AD115" s="22">
        <f>SUM(E115:AC115)</f>
        <v/>
      </c>
    </row>
    <row r="116">
      <c r="A116" s="17" t="inlineStr">
        <is>
          <t>12.8</t>
        </is>
      </c>
      <c r="B116" s="18" t="inlineStr">
        <is>
          <t>EJECUCIÓN DE PUNTO DE ILUMINACIÓN INTERIOR 110V CON CONDUCTOR #12 AWG Y CANALIZACIÓN PVC SCH 40.</t>
        </is>
      </c>
      <c r="C116" s="19" t="n">
        <v>0.002679450856339035</v>
      </c>
      <c r="D116" s="20" t="n">
        <v>8</v>
      </c>
      <c r="E116" s="21" t="n"/>
      <c r="F116" s="21" t="n"/>
      <c r="G116" s="21" t="n"/>
      <c r="H116" s="21" t="n"/>
      <c r="I116" s="21" t="n"/>
      <c r="J116" s="21" t="n"/>
      <c r="K116" s="21" t="n"/>
      <c r="L116" s="21" t="n"/>
      <c r="M116" s="21" t="n"/>
      <c r="N116" s="21" t="n"/>
      <c r="O116" s="21" t="n"/>
      <c r="P116" s="21" t="n"/>
      <c r="Q116" s="21" t="n"/>
      <c r="R116" s="21" t="n"/>
      <c r="S116" s="21" t="n"/>
      <c r="T116" s="21" t="n"/>
      <c r="U116" s="21" t="n"/>
      <c r="V116" s="21" t="inlineStr">
        <is>
          <t>P</t>
        </is>
      </c>
      <c r="W116" s="21" t="inlineStr">
        <is>
          <t>P</t>
        </is>
      </c>
      <c r="X116" s="21" t="n"/>
      <c r="Y116" s="21" t="n"/>
      <c r="Z116" s="21" t="n"/>
      <c r="AA116" s="21" t="n"/>
      <c r="AB116" s="21" t="n"/>
      <c r="AC116" s="21" t="n"/>
      <c r="AD116" s="22">
        <f>SUM(E116:AC116)</f>
        <v/>
      </c>
    </row>
    <row r="117">
      <c r="A117" s="17" t="inlineStr">
        <is>
          <t>12.9</t>
        </is>
      </c>
      <c r="B117" s="18" t="inlineStr">
        <is>
          <t>EJECUCIÓN DE PUNTO PARA INTERRUPTOR SENCILLO CON CONDUCTOR #12 AWG Y CAJA DE CONEXIÓN.</t>
        </is>
      </c>
      <c r="C117" s="19" t="n">
        <v>0.001095896645850142</v>
      </c>
      <c r="D117" s="20" t="n">
        <v>4</v>
      </c>
      <c r="E117" s="21" t="n"/>
      <c r="F117" s="21" t="n"/>
      <c r="G117" s="21" t="n"/>
      <c r="H117" s="21" t="n"/>
      <c r="I117" s="21" t="n"/>
      <c r="J117" s="21" t="n"/>
      <c r="K117" s="21" t="n"/>
      <c r="L117" s="21" t="n"/>
      <c r="M117" s="21" t="n"/>
      <c r="N117" s="21" t="n"/>
      <c r="O117" s="21" t="n"/>
      <c r="P117" s="21" t="n"/>
      <c r="Q117" s="21" t="n"/>
      <c r="R117" s="21" t="n"/>
      <c r="S117" s="21" t="n"/>
      <c r="T117" s="21" t="n"/>
      <c r="U117" s="21" t="n"/>
      <c r="V117" s="21" t="inlineStr">
        <is>
          <t>P</t>
        </is>
      </c>
      <c r="W117" s="21" t="n"/>
      <c r="X117" s="21" t="n"/>
      <c r="Y117" s="21" t="n"/>
      <c r="Z117" s="21" t="n"/>
      <c r="AA117" s="21" t="n"/>
      <c r="AB117" s="21" t="n"/>
      <c r="AC117" s="21" t="n"/>
      <c r="AD117" s="22">
        <f>SUM(E117:AC117)</f>
        <v/>
      </c>
    </row>
    <row r="118">
      <c r="A118" s="17" t="inlineStr">
        <is>
          <t>12.10</t>
        </is>
      </c>
      <c r="B118" s="18" t="inlineStr">
        <is>
          <t>SUMINISTRO E INSTALACIÓN DE PANEL LED REDONDO DE SOBREPONER DE 18W PARA ILUMINACIÓN INTERIOR.</t>
        </is>
      </c>
      <c r="C118" s="19" t="n">
        <v>0.001859099739347212</v>
      </c>
      <c r="D118" s="20" t="n">
        <v>7</v>
      </c>
      <c r="E118" s="21" t="n"/>
      <c r="F118" s="21" t="n"/>
      <c r="G118" s="21" t="n"/>
      <c r="H118" s="21" t="n"/>
      <c r="I118" s="21" t="n"/>
      <c r="J118" s="21" t="n"/>
      <c r="K118" s="21" t="n"/>
      <c r="L118" s="21" t="n"/>
      <c r="M118" s="21" t="n"/>
      <c r="N118" s="21" t="n"/>
      <c r="O118" s="21" t="n"/>
      <c r="P118" s="21" t="n"/>
      <c r="Q118" s="21" t="n"/>
      <c r="R118" s="21" t="n"/>
      <c r="S118" s="21" t="n"/>
      <c r="T118" s="21" t="n"/>
      <c r="U118" s="21" t="n"/>
      <c r="V118" s="21" t="inlineStr">
        <is>
          <t>P</t>
        </is>
      </c>
      <c r="W118" s="21" t="inlineStr">
        <is>
          <t>P</t>
        </is>
      </c>
      <c r="X118" s="21" t="n"/>
      <c r="Y118" s="21" t="n"/>
      <c r="Z118" s="21" t="n"/>
      <c r="AA118" s="21" t="n"/>
      <c r="AB118" s="21" t="n"/>
      <c r="AC118" s="21" t="n"/>
      <c r="AD118" s="22">
        <f>SUM(E118:AC118)</f>
        <v/>
      </c>
    </row>
    <row r="119">
      <c r="A119" s="17" t="inlineStr">
        <is>
          <t>12.11</t>
        </is>
      </c>
      <c r="B119" s="18" t="inlineStr">
        <is>
          <t>EJECUCIÓN DE PUNTO PARA INTERRUPTOR DOBLE O CONMUTABLE CON CANALIZACIÓN PVC SCH 40.</t>
        </is>
      </c>
      <c r="C119" s="19" t="n">
        <v>0.0002368354795056247</v>
      </c>
      <c r="D119" s="20" t="n">
        <v>1</v>
      </c>
      <c r="E119" s="21" t="n"/>
      <c r="F119" s="21" t="n"/>
      <c r="G119" s="21" t="n"/>
      <c r="H119" s="21" t="n"/>
      <c r="I119" s="21" t="n"/>
      <c r="J119" s="21" t="n"/>
      <c r="K119" s="21" t="n"/>
      <c r="L119" s="21" t="n"/>
      <c r="M119" s="21" t="n"/>
      <c r="N119" s="21" t="n"/>
      <c r="O119" s="21" t="n"/>
      <c r="P119" s="21" t="n"/>
      <c r="Q119" s="21" t="n"/>
      <c r="R119" s="21" t="n"/>
      <c r="S119" s="21" t="n"/>
      <c r="T119" s="21" t="n"/>
      <c r="U119" s="21" t="n"/>
      <c r="V119" s="21" t="inlineStr">
        <is>
          <t>P</t>
        </is>
      </c>
      <c r="W119" s="21" t="n"/>
      <c r="X119" s="21" t="n"/>
      <c r="Y119" s="21" t="n"/>
      <c r="Z119" s="21" t="n"/>
      <c r="AA119" s="21" t="n"/>
      <c r="AB119" s="21" t="n"/>
      <c r="AC119" s="21" t="n"/>
      <c r="AD119" s="22">
        <f>SUM(E119:AC119)</f>
        <v/>
      </c>
    </row>
    <row r="120">
      <c r="A120" s="17" t="inlineStr">
        <is>
          <t>12.12</t>
        </is>
      </c>
      <c r="B120" s="18" t="inlineStr">
        <is>
          <t>SUMINISTRO E INSTALACIÓN DE REGISTRO ELÉCTRICO DE 40 X 40 CM.</t>
        </is>
      </c>
      <c r="C120" s="19" t="n">
        <v>0.001253093055247763</v>
      </c>
      <c r="D120" s="20" t="n">
        <v>5</v>
      </c>
      <c r="E120" s="21" t="n"/>
      <c r="F120" s="21" t="n"/>
      <c r="G120" s="21" t="n"/>
      <c r="H120" s="21" t="n"/>
      <c r="I120" s="21" t="n"/>
      <c r="J120" s="21" t="n"/>
      <c r="K120" s="21" t="n"/>
      <c r="L120" s="21" t="n"/>
      <c r="M120" s="21" t="n"/>
      <c r="N120" s="21" t="n"/>
      <c r="O120" s="21" t="n"/>
      <c r="P120" s="21" t="n"/>
      <c r="Q120" s="21" t="n"/>
      <c r="R120" s="21" t="n"/>
      <c r="S120" s="21" t="n"/>
      <c r="T120" s="21" t="n"/>
      <c r="U120" s="21" t="n"/>
      <c r="V120" s="21" t="inlineStr">
        <is>
          <t>P</t>
        </is>
      </c>
      <c r="W120" s="21" t="inlineStr">
        <is>
          <t>P</t>
        </is>
      </c>
      <c r="X120" s="21" t="n"/>
      <c r="Y120" s="21" t="n"/>
      <c r="Z120" s="21" t="n"/>
      <c r="AA120" s="21" t="n"/>
      <c r="AB120" s="21" t="n"/>
      <c r="AC120" s="21" t="n"/>
      <c r="AD120" s="22">
        <f>SUM(E120:AC120)</f>
        <v/>
      </c>
    </row>
    <row r="121">
      <c r="A121" s="12" t="inlineStr">
        <is>
          <t>13</t>
        </is>
      </c>
      <c r="B121" s="13" t="inlineStr">
        <is>
          <t>SISTEMA SOLAR FOTOVOLTAICO</t>
        </is>
      </c>
      <c r="C121" s="14">
        <f>SUM(C122:C131)</f>
        <v/>
      </c>
      <c r="D121" s="15" t="n"/>
      <c r="E121" s="16" t="n"/>
      <c r="F121" s="16" t="n"/>
      <c r="G121" s="16" t="n"/>
      <c r="H121" s="16" t="n"/>
      <c r="I121" s="16" t="n"/>
      <c r="J121" s="16" t="n"/>
      <c r="K121" s="16" t="n"/>
      <c r="L121" s="16" t="n"/>
      <c r="M121" s="16" t="n"/>
      <c r="N121" s="16" t="n"/>
      <c r="O121" s="16" t="n"/>
      <c r="P121" s="16" t="n"/>
      <c r="Q121" s="16" t="n"/>
      <c r="R121" s="16" t="n"/>
      <c r="S121" s="16" t="n"/>
      <c r="T121" s="16" t="n"/>
      <c r="U121" s="16" t="n"/>
      <c r="V121" s="16" t="n"/>
      <c r="W121" s="16" t="n"/>
      <c r="X121" s="16" t="n"/>
      <c r="Y121" s="16" t="n"/>
      <c r="Z121" s="16" t="n"/>
      <c r="AA121" s="16" t="n"/>
      <c r="AB121" s="16" t="n"/>
      <c r="AC121" s="16" t="n"/>
      <c r="AD121" s="16" t="n"/>
    </row>
    <row r="122">
      <c r="A122" s="17" t="inlineStr">
        <is>
          <t>13.1</t>
        </is>
      </c>
      <c r="B122" s="18" t="inlineStr">
        <is>
          <t>SUMINISTRO E INSTALACIÓN DE LUMINARIA SOLAR LED PARA ALUMBRADO EXTERIOR DE 35W, INCLUYE MONTAJE Y CONEXIÓN.</t>
        </is>
      </c>
      <c r="C122" s="19" t="n">
        <v>0.09322397329134009</v>
      </c>
      <c r="D122" s="20" t="n">
        <v>7</v>
      </c>
      <c r="E122" s="21" t="n"/>
      <c r="F122" s="21" t="n"/>
      <c r="G122" s="21" t="n"/>
      <c r="H122" s="21" t="n"/>
      <c r="I122" s="21" t="n"/>
      <c r="J122" s="21" t="n"/>
      <c r="K122" s="21" t="n"/>
      <c r="L122" s="21" t="n"/>
      <c r="M122" s="21" t="n"/>
      <c r="N122" s="21" t="n"/>
      <c r="O122" s="21" t="n"/>
      <c r="P122" s="21" t="n"/>
      <c r="Q122" s="21" t="n"/>
      <c r="R122" s="21" t="n"/>
      <c r="S122" s="21" t="n"/>
      <c r="T122" s="21" t="n"/>
      <c r="U122" s="21" t="n"/>
      <c r="V122" s="21" t="n"/>
      <c r="W122" s="21" t="n"/>
      <c r="X122" s="21" t="inlineStr">
        <is>
          <t>P</t>
        </is>
      </c>
      <c r="Y122" s="21" t="inlineStr">
        <is>
          <t>P</t>
        </is>
      </c>
      <c r="Z122" s="21" t="n"/>
      <c r="AA122" s="21" t="n"/>
      <c r="AB122" s="21" t="n"/>
      <c r="AC122" s="21" t="n"/>
      <c r="AD122" s="22">
        <f>SUM(E122:AC122)</f>
        <v/>
      </c>
    </row>
    <row r="123">
      <c r="A123" s="17" t="inlineStr">
        <is>
          <t>13.2</t>
        </is>
      </c>
      <c r="B123" s="18" t="inlineStr">
        <is>
          <t>SUMINISTRO E INSTALACIÓN DE REFLECTOR SOLAR LED DE 35W PARA EXTERIORES Y SALA POLIVALENTE.</t>
        </is>
      </c>
      <c r="C123" s="19" t="n">
        <v>0.003321963535843373</v>
      </c>
      <c r="D123" s="20" t="n">
        <v>4</v>
      </c>
      <c r="E123" s="21" t="n"/>
      <c r="F123" s="21" t="n"/>
      <c r="G123" s="21" t="n"/>
      <c r="H123" s="21" t="n"/>
      <c r="I123" s="21" t="n"/>
      <c r="J123" s="21" t="n"/>
      <c r="K123" s="21" t="n"/>
      <c r="L123" s="21" t="n"/>
      <c r="M123" s="21" t="n"/>
      <c r="N123" s="21" t="n"/>
      <c r="O123" s="21" t="n"/>
      <c r="P123" s="21" t="n"/>
      <c r="Q123" s="21" t="n"/>
      <c r="R123" s="21" t="n"/>
      <c r="S123" s="21" t="n"/>
      <c r="T123" s="21" t="n"/>
      <c r="U123" s="21" t="n"/>
      <c r="V123" s="21" t="n"/>
      <c r="W123" s="21" t="n"/>
      <c r="X123" s="21" t="inlineStr">
        <is>
          <t>P</t>
        </is>
      </c>
      <c r="Y123" s="21" t="inlineStr">
        <is>
          <t>P</t>
        </is>
      </c>
      <c r="Z123" s="21" t="n"/>
      <c r="AA123" s="21" t="n"/>
      <c r="AB123" s="21" t="n"/>
      <c r="AC123" s="21" t="n"/>
      <c r="AD123" s="22">
        <f>SUM(E123:AC123)</f>
        <v/>
      </c>
    </row>
    <row r="124">
      <c r="A124" s="17" t="inlineStr">
        <is>
          <t>13.3</t>
        </is>
      </c>
      <c r="B124" s="18" t="inlineStr">
        <is>
          <t>SUMINISTRO E INSTALACIÓN DE MÓDULO FOTOVOLTAICO DE 630W CON ESTRUCTURA DE SOPORTE.</t>
        </is>
      </c>
      <c r="C124" s="19" t="n">
        <v>0.008295170725110101</v>
      </c>
      <c r="D124" s="20" t="n">
        <v>5</v>
      </c>
      <c r="E124" s="21" t="n"/>
      <c r="F124" s="21" t="n"/>
      <c r="G124" s="21" t="n"/>
      <c r="H124" s="21" t="n"/>
      <c r="I124" s="21" t="n"/>
      <c r="J124" s="21" t="n"/>
      <c r="K124" s="21" t="n"/>
      <c r="L124" s="21" t="n"/>
      <c r="M124" s="21" t="n"/>
      <c r="N124" s="21" t="n"/>
      <c r="O124" s="21" t="n"/>
      <c r="P124" s="21" t="n"/>
      <c r="Q124" s="21" t="n"/>
      <c r="R124" s="21" t="n"/>
      <c r="S124" s="21" t="n"/>
      <c r="T124" s="21" t="n"/>
      <c r="U124" s="21" t="n"/>
      <c r="V124" s="21" t="n"/>
      <c r="W124" s="21" t="n"/>
      <c r="X124" s="21" t="inlineStr">
        <is>
          <t>P</t>
        </is>
      </c>
      <c r="Y124" s="21" t="inlineStr">
        <is>
          <t>P</t>
        </is>
      </c>
      <c r="Z124" s="21" t="n"/>
      <c r="AA124" s="21" t="n"/>
      <c r="AB124" s="21" t="n"/>
      <c r="AC124" s="21" t="n"/>
      <c r="AD124" s="22">
        <f>SUM(E124:AC124)</f>
        <v/>
      </c>
    </row>
    <row r="125">
      <c r="A125" s="17" t="inlineStr">
        <is>
          <t>13.4</t>
        </is>
      </c>
      <c r="B125" s="18" t="inlineStr">
        <is>
          <t>SUMINISTRO E INSTALACIÓN DE BANCO DE BATERÍAS DE LITIO 200AH - 51.2V, INCLUYE SISTEMA BMS Y CABLEADO.</t>
        </is>
      </c>
      <c r="C125" s="19" t="n">
        <v>0.01218324495804303</v>
      </c>
      <c r="D125" s="20" t="n">
        <v>3</v>
      </c>
      <c r="E125" s="21" t="n"/>
      <c r="F125" s="21" t="n"/>
      <c r="G125" s="21" t="n"/>
      <c r="H125" s="21" t="n"/>
      <c r="I125" s="21" t="n"/>
      <c r="J125" s="21" t="n"/>
      <c r="K125" s="21" t="n"/>
      <c r="L125" s="21" t="n"/>
      <c r="M125" s="21" t="n"/>
      <c r="N125" s="21" t="n"/>
      <c r="O125" s="21" t="n"/>
      <c r="P125" s="21" t="n"/>
      <c r="Q125" s="21" t="n"/>
      <c r="R125" s="21" t="n"/>
      <c r="S125" s="21" t="n"/>
      <c r="T125" s="21" t="n"/>
      <c r="U125" s="21" t="n"/>
      <c r="V125" s="21" t="n"/>
      <c r="W125" s="21" t="n"/>
      <c r="X125" s="21" t="inlineStr">
        <is>
          <t>P</t>
        </is>
      </c>
      <c r="Y125" s="21" t="inlineStr">
        <is>
          <t>P</t>
        </is>
      </c>
      <c r="Z125" s="21" t="n"/>
      <c r="AA125" s="21" t="n"/>
      <c r="AB125" s="21" t="n"/>
      <c r="AC125" s="21" t="n"/>
      <c r="AD125" s="22">
        <f>SUM(E125:AC125)</f>
        <v/>
      </c>
    </row>
    <row r="126">
      <c r="A126" s="17" t="inlineStr">
        <is>
          <t>13.5</t>
        </is>
      </c>
      <c r="B126" s="18" t="inlineStr">
        <is>
          <t>SUMINISTRO E INSTALACIÓN DE INVERSOR/CARGADOR HÍBRIDO DE 10KW Y 48V.</t>
        </is>
      </c>
      <c r="C126" s="19" t="n">
        <v>0.009407522815358385</v>
      </c>
      <c r="D126" s="20" t="n">
        <v>4</v>
      </c>
      <c r="E126" s="21" t="n"/>
      <c r="F126" s="21" t="n"/>
      <c r="G126" s="21" t="n"/>
      <c r="H126" s="21" t="n"/>
      <c r="I126" s="21" t="n"/>
      <c r="J126" s="21" t="n"/>
      <c r="K126" s="21" t="n"/>
      <c r="L126" s="21" t="n"/>
      <c r="M126" s="21" t="n"/>
      <c r="N126" s="21" t="n"/>
      <c r="O126" s="21" t="n"/>
      <c r="P126" s="21" t="n"/>
      <c r="Q126" s="21" t="n"/>
      <c r="R126" s="21" t="n"/>
      <c r="S126" s="21" t="n"/>
      <c r="T126" s="21" t="n"/>
      <c r="U126" s="21" t="n"/>
      <c r="V126" s="21" t="n"/>
      <c r="W126" s="21" t="n"/>
      <c r="X126" s="21" t="inlineStr">
        <is>
          <t>P</t>
        </is>
      </c>
      <c r="Y126" s="21" t="inlineStr">
        <is>
          <t>P</t>
        </is>
      </c>
      <c r="Z126" s="21" t="n"/>
      <c r="AA126" s="21" t="n"/>
      <c r="AB126" s="21" t="n"/>
      <c r="AC126" s="21" t="n"/>
      <c r="AD126" s="22">
        <f>SUM(E126:AC126)</f>
        <v/>
      </c>
    </row>
    <row r="127">
      <c r="A127" s="17" t="inlineStr">
        <is>
          <t>13.6</t>
        </is>
      </c>
      <c r="B127" s="18" t="inlineStr">
        <is>
          <t>SUMINISTRO E INSTALACIÓN DE CABLEADO FOTOVOLTAICO DC 4 MM² PARA INTERCONEXIÓN DE STRINGS.</t>
        </is>
      </c>
      <c r="C127" s="19" t="n">
        <v>0.003128686278502876</v>
      </c>
      <c r="D127" s="20" t="n">
        <v>8</v>
      </c>
      <c r="E127" s="21" t="n"/>
      <c r="F127" s="21" t="n"/>
      <c r="G127" s="21" t="n"/>
      <c r="H127" s="21" t="n"/>
      <c r="I127" s="21" t="n"/>
      <c r="J127" s="21" t="n"/>
      <c r="K127" s="21" t="n"/>
      <c r="L127" s="21" t="n"/>
      <c r="M127" s="21" t="n"/>
      <c r="N127" s="21" t="n"/>
      <c r="O127" s="21" t="n"/>
      <c r="P127" s="21" t="n"/>
      <c r="Q127" s="21" t="n"/>
      <c r="R127" s="21" t="n"/>
      <c r="S127" s="21" t="n"/>
      <c r="T127" s="21" t="n"/>
      <c r="U127" s="21" t="n"/>
      <c r="V127" s="21" t="n"/>
      <c r="W127" s="21" t="n"/>
      <c r="X127" s="21" t="inlineStr">
        <is>
          <t>P</t>
        </is>
      </c>
      <c r="Y127" s="21" t="inlineStr">
        <is>
          <t>P</t>
        </is>
      </c>
      <c r="Z127" s="21" t="inlineStr">
        <is>
          <t>P</t>
        </is>
      </c>
      <c r="AA127" s="21" t="n"/>
      <c r="AB127" s="21" t="n"/>
      <c r="AC127" s="21" t="n"/>
      <c r="AD127" s="22">
        <f>SUM(E127:AC127)</f>
        <v/>
      </c>
    </row>
    <row r="128">
      <c r="A128" s="17" t="inlineStr">
        <is>
          <t>13.7</t>
        </is>
      </c>
      <c r="B128" s="18" t="inlineStr">
        <is>
          <t>SUMINISTRO E INSTALACIÓN DE CABLEADO AC #6 AWG PARA SALIDA DE INVERSOR.</t>
        </is>
      </c>
      <c r="C128" s="19" t="n">
        <v>0.0005843674241557053</v>
      </c>
      <c r="D128" s="20" t="n">
        <v>2</v>
      </c>
      <c r="E128" s="21" t="n"/>
      <c r="F128" s="21" t="n"/>
      <c r="G128" s="21" t="n"/>
      <c r="H128" s="21" t="n"/>
      <c r="I128" s="21" t="n"/>
      <c r="J128" s="21" t="n"/>
      <c r="K128" s="21" t="n"/>
      <c r="L128" s="21" t="n"/>
      <c r="M128" s="21" t="n"/>
      <c r="N128" s="21" t="n"/>
      <c r="O128" s="21" t="n"/>
      <c r="P128" s="21" t="n"/>
      <c r="Q128" s="21" t="n"/>
      <c r="R128" s="21" t="n"/>
      <c r="S128" s="21" t="n"/>
      <c r="T128" s="21" t="n"/>
      <c r="U128" s="21" t="n"/>
      <c r="V128" s="21" t="n"/>
      <c r="W128" s="21" t="n"/>
      <c r="X128" s="21" t="inlineStr">
        <is>
          <t>P</t>
        </is>
      </c>
      <c r="Y128" s="21" t="inlineStr">
        <is>
          <t>P</t>
        </is>
      </c>
      <c r="Z128" s="21" t="n"/>
      <c r="AA128" s="21" t="n"/>
      <c r="AB128" s="21" t="n"/>
      <c r="AC128" s="21" t="n"/>
      <c r="AD128" s="22">
        <f>SUM(E128:AC128)</f>
        <v/>
      </c>
    </row>
    <row r="129">
      <c r="A129" s="17" t="inlineStr">
        <is>
          <t>13.8</t>
        </is>
      </c>
      <c r="B129" s="18" t="inlineStr">
        <is>
          <t>SUMINISTRO E INSTALACIÓN DE TABLERO DE PROTECCIONES DC/AC EN GABINETE IP65, INCLUYE BREAKERS, DPS Y FUSIBLES.</t>
        </is>
      </c>
      <c r="C129" s="19" t="n">
        <v>0.001881832448728346</v>
      </c>
      <c r="D129" s="20" t="n">
        <v>5</v>
      </c>
      <c r="E129" s="21" t="n"/>
      <c r="F129" s="21" t="n"/>
      <c r="G129" s="21" t="n"/>
      <c r="H129" s="21" t="n"/>
      <c r="I129" s="21" t="n"/>
      <c r="J129" s="21" t="n"/>
      <c r="K129" s="21" t="n"/>
      <c r="L129" s="21" t="n"/>
      <c r="M129" s="21" t="n"/>
      <c r="N129" s="21" t="n"/>
      <c r="O129" s="21" t="n"/>
      <c r="P129" s="21" t="n"/>
      <c r="Q129" s="21" t="n"/>
      <c r="R129" s="21" t="n"/>
      <c r="S129" s="21" t="n"/>
      <c r="T129" s="21" t="n"/>
      <c r="U129" s="21" t="n"/>
      <c r="V129" s="21" t="n"/>
      <c r="W129" s="21" t="n"/>
      <c r="X129" s="21" t="inlineStr">
        <is>
          <t>P</t>
        </is>
      </c>
      <c r="Y129" s="21" t="inlineStr">
        <is>
          <t>P</t>
        </is>
      </c>
      <c r="Z129" s="21" t="n"/>
      <c r="AA129" s="21" t="n"/>
      <c r="AB129" s="21" t="n"/>
      <c r="AC129" s="21" t="n"/>
      <c r="AD129" s="22">
        <f>SUM(E129:AC129)</f>
        <v/>
      </c>
    </row>
    <row r="130">
      <c r="A130" s="17" t="inlineStr">
        <is>
          <t>13.9</t>
        </is>
      </c>
      <c r="B130" s="18" t="inlineStr">
        <is>
          <t>SUMINISTRO E INSTALACIÓN DE CANALIZACIÓN EN TUBERÍA IMC DE 1-1/4", INCLUYE ACCESORIOS Y SOPORTERÍA.</t>
        </is>
      </c>
      <c r="C130" s="19" t="n">
        <v>0.0007521798402670766</v>
      </c>
      <c r="D130" s="20" t="n">
        <v>2</v>
      </c>
      <c r="E130" s="21" t="n"/>
      <c r="F130" s="21" t="n"/>
      <c r="G130" s="21" t="n"/>
      <c r="H130" s="21" t="n"/>
      <c r="I130" s="21" t="n"/>
      <c r="J130" s="21" t="n"/>
      <c r="K130" s="21" t="n"/>
      <c r="L130" s="21" t="n"/>
      <c r="M130" s="21" t="n"/>
      <c r="N130" s="21" t="n"/>
      <c r="O130" s="21" t="n"/>
      <c r="P130" s="21" t="n"/>
      <c r="Q130" s="21" t="n"/>
      <c r="R130" s="21" t="n"/>
      <c r="S130" s="21" t="n"/>
      <c r="T130" s="21" t="n"/>
      <c r="U130" s="21" t="n"/>
      <c r="V130" s="21" t="n"/>
      <c r="W130" s="21" t="n"/>
      <c r="X130" s="21" t="inlineStr">
        <is>
          <t>P</t>
        </is>
      </c>
      <c r="Y130" s="21" t="inlineStr">
        <is>
          <t>P</t>
        </is>
      </c>
      <c r="Z130" s="21" t="n"/>
      <c r="AA130" s="21" t="n"/>
      <c r="AB130" s="21" t="n"/>
      <c r="AC130" s="21" t="n"/>
      <c r="AD130" s="22">
        <f>SUM(E130:AC130)</f>
        <v/>
      </c>
    </row>
    <row r="131">
      <c r="A131" s="17" t="inlineStr">
        <is>
          <t>13.10</t>
        </is>
      </c>
      <c r="B131" s="18" t="inlineStr">
        <is>
          <t>SUMINISTRO E INSTALACIÓN DE SENSOR DE MOVIMIENTO PARA BAÑOS.</t>
        </is>
      </c>
      <c r="C131" s="19" t="n">
        <v>9.784060259136148e-05</v>
      </c>
      <c r="D131" s="20" t="n">
        <v>1</v>
      </c>
      <c r="E131" s="21" t="n"/>
      <c r="F131" s="21" t="n"/>
      <c r="G131" s="21" t="n"/>
      <c r="H131" s="21" t="n"/>
      <c r="I131" s="21" t="n"/>
      <c r="J131" s="21" t="n"/>
      <c r="K131" s="21" t="n"/>
      <c r="L131" s="21" t="n"/>
      <c r="M131" s="21" t="n"/>
      <c r="N131" s="21" t="n"/>
      <c r="O131" s="21" t="n"/>
      <c r="P131" s="21" t="n"/>
      <c r="Q131" s="21" t="n"/>
      <c r="R131" s="21" t="n"/>
      <c r="S131" s="21" t="n"/>
      <c r="T131" s="21" t="n"/>
      <c r="U131" s="21" t="n"/>
      <c r="V131" s="21" t="n"/>
      <c r="W131" s="21" t="n"/>
      <c r="X131" s="21" t="inlineStr">
        <is>
          <t>P</t>
        </is>
      </c>
      <c r="Y131" s="21" t="n"/>
      <c r="Z131" s="21" t="n"/>
      <c r="AA131" s="21" t="n"/>
      <c r="AB131" s="21" t="n"/>
      <c r="AC131" s="21" t="n"/>
      <c r="AD131" s="22">
        <f>SUM(E131:AC131)</f>
        <v/>
      </c>
    </row>
    <row r="132">
      <c r="A132" s="12" t="inlineStr">
        <is>
          <t>14</t>
        </is>
      </c>
      <c r="B132" s="13" t="inlineStr">
        <is>
          <t>EQUIPAMIENTO BIOSALUDABLE</t>
        </is>
      </c>
      <c r="C132" s="14">
        <f>SUM(C133:C138)</f>
        <v/>
      </c>
      <c r="D132" s="15" t="n"/>
      <c r="E132" s="16" t="n"/>
      <c r="F132" s="16" t="n"/>
      <c r="G132" s="16" t="n"/>
      <c r="H132" s="16" t="n"/>
      <c r="I132" s="16" t="n"/>
      <c r="J132" s="16" t="n"/>
      <c r="K132" s="16" t="n"/>
      <c r="L132" s="16" t="n"/>
      <c r="M132" s="16" t="n"/>
      <c r="N132" s="16" t="n"/>
      <c r="O132" s="16" t="n"/>
      <c r="P132" s="16" t="n"/>
      <c r="Q132" s="16" t="n"/>
      <c r="R132" s="16" t="n"/>
      <c r="S132" s="16" t="n"/>
      <c r="T132" s="16" t="n"/>
      <c r="U132" s="16" t="n"/>
      <c r="V132" s="16" t="n"/>
      <c r="W132" s="16" t="n"/>
      <c r="X132" s="16" t="n"/>
      <c r="Y132" s="16" t="n"/>
      <c r="Z132" s="16" t="n"/>
      <c r="AA132" s="16" t="n"/>
      <c r="AB132" s="16" t="n"/>
      <c r="AC132" s="16" t="n"/>
      <c r="AD132" s="16" t="n"/>
    </row>
    <row r="133">
      <c r="A133" s="17" t="inlineStr">
        <is>
          <t>14.1</t>
        </is>
      </c>
      <c r="B133" s="18" t="inlineStr">
        <is>
          <t>Suministro e instalación de Máquina biosaludable BARRAS PARALELAS, instalado bajo sistema de empotramiento. Incluye perforación de plantilla de concreto de 40×40 cm con profundidad de 30–40 cm, suministro de cemento, arena, piedra y agua para relleno, aplome, nivelación y limpieza.</t>
        </is>
      </c>
      <c r="C133" s="19" t="n">
        <v>0.001769048285783582</v>
      </c>
      <c r="D133" s="20" t="n">
        <v>1</v>
      </c>
      <c r="E133" s="21" t="n"/>
      <c r="F133" s="21" t="n"/>
      <c r="G133" s="21" t="n"/>
      <c r="H133" s="21" t="n"/>
      <c r="I133" s="21" t="n"/>
      <c r="J133" s="21" t="n"/>
      <c r="K133" s="21" t="inlineStr">
        <is>
          <t>P</t>
        </is>
      </c>
      <c r="L133" s="21" t="n"/>
      <c r="M133" s="21" t="n"/>
      <c r="N133" s="21" t="n"/>
      <c r="O133" s="21" t="n"/>
      <c r="P133" s="21" t="n"/>
      <c r="Q133" s="21" t="n"/>
      <c r="R133" s="21" t="n"/>
      <c r="S133" s="21" t="n"/>
      <c r="T133" s="21" t="n"/>
      <c r="U133" s="21" t="n"/>
      <c r="V133" s="21" t="n"/>
      <c r="W133" s="21" t="n"/>
      <c r="X133" s="21" t="n"/>
      <c r="Y133" s="21" t="n"/>
      <c r="Z133" s="21" t="n"/>
      <c r="AA133" s="21" t="n"/>
      <c r="AB133" s="21" t="n"/>
      <c r="AC133" s="21" t="n"/>
      <c r="AD133" s="22">
        <f>SUM(E133:AC133)</f>
        <v/>
      </c>
    </row>
    <row r="134">
      <c r="A134" s="17" t="inlineStr">
        <is>
          <t>14.2</t>
        </is>
      </c>
      <c r="B134" s="18" t="inlineStr">
        <is>
          <t>Suministro e instalación de Máquina biosaludable CAMINADOR AÉREO, instalado bajo sistema de empotramiento. Incluye perforación de plantilla de concreto de 40×40 cm con profundidad de 30–40 cm, suministro de cemento, arena, piedra y agua para relleno, aplome, nivelación y limpieza.</t>
        </is>
      </c>
      <c r="C134" s="19" t="n">
        <v>0.001945426304445413</v>
      </c>
      <c r="D134" s="20" t="n">
        <v>1</v>
      </c>
      <c r="E134" s="21" t="n"/>
      <c r="F134" s="21" t="n"/>
      <c r="G134" s="21" t="n"/>
      <c r="H134" s="21" t="n"/>
      <c r="I134" s="21" t="n"/>
      <c r="J134" s="21" t="n"/>
      <c r="K134" s="21" t="inlineStr">
        <is>
          <t>P</t>
        </is>
      </c>
      <c r="L134" s="21" t="n"/>
      <c r="M134" s="21" t="n"/>
      <c r="N134" s="21" t="n"/>
      <c r="O134" s="21" t="n"/>
      <c r="P134" s="21" t="n"/>
      <c r="Q134" s="21" t="n"/>
      <c r="R134" s="21" t="n"/>
      <c r="S134" s="21" t="n"/>
      <c r="T134" s="21" t="n"/>
      <c r="U134" s="21" t="n"/>
      <c r="V134" s="21" t="n"/>
      <c r="W134" s="21" t="n"/>
      <c r="X134" s="21" t="n"/>
      <c r="Y134" s="21" t="n"/>
      <c r="Z134" s="21" t="n"/>
      <c r="AA134" s="21" t="n"/>
      <c r="AB134" s="21" t="n"/>
      <c r="AC134" s="21" t="n"/>
      <c r="AD134" s="22">
        <f>SUM(E134:AC134)</f>
        <v/>
      </c>
    </row>
    <row r="135">
      <c r="A135" s="17" t="inlineStr">
        <is>
          <t>14.3</t>
        </is>
      </c>
      <c r="B135" s="18" t="inlineStr">
        <is>
          <t>Suministro e instalación de Máquina biosaludable PONY, instalado bajo sistema de empotramiento. Incluye perforación de plantilla de concreto de 40×40 cm con profundidad de 30–40 cm, suministro de cemento, arena, piedra y agua para relleno, aplome, nivelación y limpieza.</t>
        </is>
      </c>
      <c r="C135" s="19" t="n">
        <v>0.003712408522738158</v>
      </c>
      <c r="D135" s="20" t="n">
        <v>2</v>
      </c>
      <c r="E135" s="21" t="n"/>
      <c r="F135" s="21" t="n"/>
      <c r="G135" s="21" t="n"/>
      <c r="H135" s="21" t="n"/>
      <c r="I135" s="21" t="n"/>
      <c r="J135" s="21" t="n"/>
      <c r="K135" s="21" t="inlineStr">
        <is>
          <t>P</t>
        </is>
      </c>
      <c r="L135" s="21" t="inlineStr">
        <is>
          <t>P</t>
        </is>
      </c>
      <c r="M135" s="21" t="n"/>
      <c r="N135" s="21" t="n"/>
      <c r="O135" s="21" t="n"/>
      <c r="P135" s="21" t="n"/>
      <c r="Q135" s="21" t="n"/>
      <c r="R135" s="21" t="n"/>
      <c r="S135" s="21" t="n"/>
      <c r="T135" s="21" t="n"/>
      <c r="U135" s="21" t="n"/>
      <c r="V135" s="21" t="n"/>
      <c r="W135" s="21" t="n"/>
      <c r="X135" s="21" t="n"/>
      <c r="Y135" s="21" t="n"/>
      <c r="Z135" s="21" t="n"/>
      <c r="AA135" s="21" t="n"/>
      <c r="AB135" s="21" t="n"/>
      <c r="AC135" s="21" t="n"/>
      <c r="AD135" s="22">
        <f>SUM(E135:AC135)</f>
        <v/>
      </c>
    </row>
    <row r="136">
      <c r="A136" s="17" t="inlineStr">
        <is>
          <t>14.4</t>
        </is>
      </c>
      <c r="B136" s="18" t="inlineStr">
        <is>
          <t>Suministro e instalación de Máquina biosaludable GIRO DE CADERA TWISTER, instalado bajo sistema de empotramiento. Incluye perforación de plantilla de concreto de 40×40 cm con profundidad de 30–40 cm, suministro de cemento, arena, piedra y agua para relleno, aplome, nivelación y limpieza.</t>
        </is>
      </c>
      <c r="C136" s="19" t="n">
        <v>0.00210755218678417</v>
      </c>
      <c r="D136" s="20" t="n">
        <v>1</v>
      </c>
      <c r="E136" s="21" t="n"/>
      <c r="F136" s="21" t="n"/>
      <c r="G136" s="21" t="n"/>
      <c r="H136" s="21" t="n"/>
      <c r="I136" s="21" t="n"/>
      <c r="J136" s="21" t="n"/>
      <c r="K136" s="21" t="inlineStr">
        <is>
          <t>P</t>
        </is>
      </c>
      <c r="L136" s="21" t="n"/>
      <c r="M136" s="21" t="n"/>
      <c r="N136" s="21" t="n"/>
      <c r="O136" s="21" t="n"/>
      <c r="P136" s="21" t="n"/>
      <c r="Q136" s="21" t="n"/>
      <c r="R136" s="21" t="n"/>
      <c r="S136" s="21" t="n"/>
      <c r="T136" s="21" t="n"/>
      <c r="U136" s="21" t="n"/>
      <c r="V136" s="21" t="n"/>
      <c r="W136" s="21" t="n"/>
      <c r="X136" s="21" t="n"/>
      <c r="Y136" s="21" t="n"/>
      <c r="Z136" s="21" t="n"/>
      <c r="AA136" s="21" t="n"/>
      <c r="AB136" s="21" t="n"/>
      <c r="AC136" s="21" t="n"/>
      <c r="AD136" s="22">
        <f>SUM(E136:AC136)</f>
        <v/>
      </c>
    </row>
    <row r="137">
      <c r="A137" s="17" t="inlineStr">
        <is>
          <t>14.5</t>
        </is>
      </c>
      <c r="B137" s="18" t="inlineStr">
        <is>
          <t>Suministro e instalación de Máquina biosaludable CICLA, instalado bajo sistema de empotramiento. Incluye perforación de plantilla de concreto de 40×40 cm con profundidad de 30–40 cm, suministro de cemento, arena, piedra y agua para relleno, aplome, nivelación y limpieza.</t>
        </is>
      </c>
      <c r="C137" s="19" t="n">
        <v>0.003930744866537015</v>
      </c>
      <c r="D137" s="20" t="n">
        <v>2</v>
      </c>
      <c r="E137" s="21" t="n"/>
      <c r="F137" s="21" t="n"/>
      <c r="G137" s="21" t="n"/>
      <c r="H137" s="21" t="n"/>
      <c r="I137" s="21" t="n"/>
      <c r="J137" s="21" t="n"/>
      <c r="K137" s="21" t="inlineStr">
        <is>
          <t>P</t>
        </is>
      </c>
      <c r="L137" s="21" t="inlineStr">
        <is>
          <t>P</t>
        </is>
      </c>
      <c r="M137" s="21" t="n"/>
      <c r="N137" s="21" t="n"/>
      <c r="O137" s="21" t="n"/>
      <c r="P137" s="21" t="n"/>
      <c r="Q137" s="21" t="n"/>
      <c r="R137" s="21" t="n"/>
      <c r="S137" s="21" t="n"/>
      <c r="T137" s="21" t="n"/>
      <c r="U137" s="21" t="n"/>
      <c r="V137" s="21" t="n"/>
      <c r="W137" s="21" t="n"/>
      <c r="X137" s="21" t="n"/>
      <c r="Y137" s="21" t="n"/>
      <c r="Z137" s="21" t="n"/>
      <c r="AA137" s="21" t="n"/>
      <c r="AB137" s="21" t="n"/>
      <c r="AC137" s="21" t="n"/>
      <c r="AD137" s="22">
        <f>SUM(E137:AC137)</f>
        <v/>
      </c>
    </row>
    <row r="138">
      <c r="A138" s="17" t="inlineStr">
        <is>
          <t>14.6</t>
        </is>
      </c>
      <c r="B138" s="18" t="inlineStr">
        <is>
          <t>Suministro e instalación de Máquina biosaludable DOBLE SWINGER, instalado bajo sistema de empotramiento. Incluye perforación de plantilla de concreto de 40×40 cm con profundidad de 30–40 cm, suministro de cemento, arena, piedra y agua para relleno, aplome, nivelación y limpieza.</t>
        </is>
      </c>
      <c r="C138" s="19" t="n">
        <v>0.001965372433268507</v>
      </c>
      <c r="D138" s="20" t="n">
        <v>1</v>
      </c>
      <c r="E138" s="21" t="n"/>
      <c r="F138" s="21" t="n"/>
      <c r="G138" s="21" t="n"/>
      <c r="H138" s="21" t="n"/>
      <c r="I138" s="21" t="n"/>
      <c r="J138" s="21" t="n"/>
      <c r="K138" s="21" t="inlineStr">
        <is>
          <t>P</t>
        </is>
      </c>
      <c r="L138" s="21" t="n"/>
      <c r="M138" s="21" t="n"/>
      <c r="N138" s="21" t="n"/>
      <c r="O138" s="21" t="n"/>
      <c r="P138" s="21" t="n"/>
      <c r="Q138" s="21" t="n"/>
      <c r="R138" s="21" t="n"/>
      <c r="S138" s="21" t="n"/>
      <c r="T138" s="21" t="n"/>
      <c r="U138" s="21" t="n"/>
      <c r="V138" s="21" t="n"/>
      <c r="W138" s="21" t="n"/>
      <c r="X138" s="21" t="n"/>
      <c r="Y138" s="21" t="n"/>
      <c r="Z138" s="21" t="n"/>
      <c r="AA138" s="21" t="n"/>
      <c r="AB138" s="21" t="n"/>
      <c r="AC138" s="21" t="n"/>
      <c r="AD138" s="22">
        <f>SUM(E138:AC138)</f>
        <v/>
      </c>
    </row>
    <row r="139">
      <c r="A139" s="12" t="inlineStr">
        <is>
          <t>15</t>
        </is>
      </c>
      <c r="B139" s="13" t="inlineStr">
        <is>
          <t>URBANISMO Y PAISAJISMO</t>
        </is>
      </c>
      <c r="C139" s="14">
        <f>SUM(C140:C143)</f>
        <v/>
      </c>
      <c r="D139" s="15" t="n"/>
      <c r="E139" s="16" t="n"/>
      <c r="F139" s="16" t="n"/>
      <c r="G139" s="16" t="n"/>
      <c r="H139" s="16" t="n"/>
      <c r="I139" s="16" t="n"/>
      <c r="J139" s="16" t="n"/>
      <c r="K139" s="16" t="n"/>
      <c r="L139" s="16" t="n"/>
      <c r="M139" s="16" t="n"/>
      <c r="N139" s="16" t="n"/>
      <c r="O139" s="16" t="n"/>
      <c r="P139" s="16" t="n"/>
      <c r="Q139" s="16" t="n"/>
      <c r="R139" s="16" t="n"/>
      <c r="S139" s="16" t="n"/>
      <c r="T139" s="16" t="n"/>
      <c r="U139" s="16" t="n"/>
      <c r="V139" s="16" t="n"/>
      <c r="W139" s="16" t="n"/>
      <c r="X139" s="16" t="n"/>
      <c r="Y139" s="16" t="n"/>
      <c r="Z139" s="16" t="n"/>
      <c r="AA139" s="16" t="n"/>
      <c r="AB139" s="16" t="n"/>
      <c r="AC139" s="16" t="n"/>
      <c r="AD139" s="16" t="n"/>
    </row>
    <row r="140">
      <c r="A140" s="17" t="inlineStr">
        <is>
          <t>15.1</t>
        </is>
      </c>
      <c r="B140" s="18" t="inlineStr">
        <is>
          <t>SUMINISTRO E INSTALACIÓN DE ANDÉN EN CONCRETO CEPILLADO DE 4.000 PSI Y 15 CM DE ESPESOR.</t>
        </is>
      </c>
      <c r="C140" s="19" t="n">
        <v>0.02588948522703848</v>
      </c>
      <c r="D140" s="20" t="n">
        <v>2</v>
      </c>
      <c r="E140" s="21" t="n"/>
      <c r="F140" s="21" t="n"/>
      <c r="G140" s="21" t="n"/>
      <c r="H140" s="21" t="n"/>
      <c r="I140" s="21" t="n"/>
      <c r="J140" s="21" t="n"/>
      <c r="K140" s="21" t="inlineStr">
        <is>
          <t>P</t>
        </is>
      </c>
      <c r="L140" s="21" t="n"/>
      <c r="M140" s="21" t="n"/>
      <c r="N140" s="21" t="n"/>
      <c r="O140" s="21" t="n"/>
      <c r="P140" s="21" t="n"/>
      <c r="Q140" s="21" t="n"/>
      <c r="R140" s="21" t="n"/>
      <c r="S140" s="21" t="n"/>
      <c r="T140" s="21" t="n"/>
      <c r="U140" s="21" t="n"/>
      <c r="V140" s="21" t="n"/>
      <c r="W140" s="21" t="n"/>
      <c r="X140" s="21" t="n"/>
      <c r="Y140" s="21" t="n"/>
      <c r="Z140" s="21" t="n"/>
      <c r="AA140" s="21" t="n"/>
      <c r="AB140" s="21" t="n"/>
      <c r="AC140" s="21" t="n"/>
      <c r="AD140" s="22">
        <f>SUM(E140:AC140)</f>
        <v/>
      </c>
    </row>
    <row r="141">
      <c r="A141" s="17" t="inlineStr">
        <is>
          <t>15.2</t>
        </is>
      </c>
      <c r="B141" s="18" t="inlineStr">
        <is>
          <t>EJECUCIÓN DE ACTIVIDADES DE EMBELLECIMIENTO Y EMPRADIZACIÓN DE ÁREAS INTERVENIDAS.</t>
        </is>
      </c>
      <c r="C141" s="19" t="n">
        <v>0.0239632576869303</v>
      </c>
      <c r="D141" s="20" t="n">
        <v>10</v>
      </c>
      <c r="E141" s="21" t="n"/>
      <c r="F141" s="21" t="n"/>
      <c r="G141" s="21" t="n"/>
      <c r="H141" s="21" t="n"/>
      <c r="I141" s="21" t="n"/>
      <c r="J141" s="21" t="n"/>
      <c r="K141" s="21" t="inlineStr">
        <is>
          <t>P</t>
        </is>
      </c>
      <c r="L141" s="21" t="inlineStr">
        <is>
          <t>P</t>
        </is>
      </c>
      <c r="M141" s="21" t="inlineStr">
        <is>
          <t>P</t>
        </is>
      </c>
      <c r="N141" s="21" t="n"/>
      <c r="O141" s="21" t="n"/>
      <c r="P141" s="21" t="n"/>
      <c r="Q141" s="21" t="n"/>
      <c r="R141" s="21" t="n"/>
      <c r="S141" s="21" t="n"/>
      <c r="T141" s="21" t="n"/>
      <c r="U141" s="21" t="n"/>
      <c r="V141" s="21" t="n"/>
      <c r="W141" s="21" t="n"/>
      <c r="X141" s="21" t="n"/>
      <c r="Y141" s="21" t="n"/>
      <c r="Z141" s="21" t="n"/>
      <c r="AA141" s="21" t="n"/>
      <c r="AB141" s="21" t="n"/>
      <c r="AC141" s="21" t="n"/>
      <c r="AD141" s="22">
        <f>SUM(E141:AC141)</f>
        <v/>
      </c>
    </row>
    <row r="142">
      <c r="A142" s="17" t="inlineStr">
        <is>
          <t>15.3</t>
        </is>
      </c>
      <c r="B142" s="18" t="inlineStr">
        <is>
          <t>SUMINISTRO E INSTALACIÓN DE ÁRBOL NATIVO TIPO CASSIA FISTULA (LLUVIA DE ORO) DE 1,0 A 1,5 M DE ALTURA.</t>
        </is>
      </c>
      <c r="C142" s="19" t="n">
        <v>0.004559221712812985</v>
      </c>
      <c r="D142" s="20" t="n">
        <v>3</v>
      </c>
      <c r="E142" s="21" t="n"/>
      <c r="F142" s="21" t="n"/>
      <c r="G142" s="21" t="n"/>
      <c r="H142" s="21" t="n"/>
      <c r="I142" s="21" t="n"/>
      <c r="J142" s="21" t="n"/>
      <c r="K142" s="21" t="inlineStr">
        <is>
          <t>P</t>
        </is>
      </c>
      <c r="L142" s="21" t="n"/>
      <c r="M142" s="21" t="n"/>
      <c r="N142" s="21" t="n"/>
      <c r="O142" s="21" t="n"/>
      <c r="P142" s="21" t="n"/>
      <c r="Q142" s="21" t="n"/>
      <c r="R142" s="21" t="n"/>
      <c r="S142" s="21" t="n"/>
      <c r="T142" s="21" t="n"/>
      <c r="U142" s="21" t="n"/>
      <c r="V142" s="21" t="n"/>
      <c r="W142" s="21" t="n"/>
      <c r="X142" s="21" t="n"/>
      <c r="Y142" s="21" t="n"/>
      <c r="Z142" s="21" t="n"/>
      <c r="AA142" s="21" t="n"/>
      <c r="AB142" s="21" t="n"/>
      <c r="AC142" s="21" t="n"/>
      <c r="AD142" s="22">
        <f>SUM(E142:AC142)</f>
        <v/>
      </c>
    </row>
    <row r="143">
      <c r="A143" s="17" t="inlineStr">
        <is>
          <t>15.4</t>
        </is>
      </c>
      <c r="B143" s="18" t="inlineStr">
        <is>
          <t>SUMINISTRO E INSTALACIÓN DE BANCAS PARA ESPACIO PÚBLICO.</t>
        </is>
      </c>
      <c r="C143" s="19" t="n">
        <v>0.009317878608310999</v>
      </c>
      <c r="D143" s="20" t="n">
        <v>2</v>
      </c>
      <c r="E143" s="21" t="n"/>
      <c r="F143" s="21" t="n"/>
      <c r="G143" s="21" t="n"/>
      <c r="H143" s="21" t="n"/>
      <c r="I143" s="21" t="n"/>
      <c r="J143" s="21" t="n"/>
      <c r="K143" s="21" t="inlineStr">
        <is>
          <t>P</t>
        </is>
      </c>
      <c r="L143" s="21" t="n"/>
      <c r="M143" s="21" t="n"/>
      <c r="N143" s="21" t="n"/>
      <c r="O143" s="21" t="n"/>
      <c r="P143" s="21" t="n"/>
      <c r="Q143" s="21" t="n"/>
      <c r="R143" s="21" t="n"/>
      <c r="S143" s="21" t="n"/>
      <c r="T143" s="21" t="n"/>
      <c r="U143" s="21" t="n"/>
      <c r="V143" s="21" t="n"/>
      <c r="W143" s="21" t="n"/>
      <c r="X143" s="21" t="n"/>
      <c r="Y143" s="21" t="n"/>
      <c r="Z143" s="21" t="n"/>
      <c r="AA143" s="21" t="n"/>
      <c r="AB143" s="21" t="n"/>
      <c r="AC143" s="21" t="n"/>
      <c r="AD143" s="22">
        <f>SUM(E143:AC143)</f>
        <v/>
      </c>
    </row>
    <row r="144">
      <c r="A144" s="12" t="inlineStr">
        <is>
          <t>16</t>
        </is>
      </c>
      <c r="B144" s="13" t="inlineStr">
        <is>
          <t>LIMPIEZA FINAL DE OBRA</t>
        </is>
      </c>
      <c r="C144" s="14">
        <f>SUM(C145:C145)</f>
        <v/>
      </c>
      <c r="D144" s="15" t="n"/>
      <c r="E144" s="16" t="n"/>
      <c r="F144" s="16" t="n"/>
      <c r="G144" s="16" t="n"/>
      <c r="H144" s="16" t="n"/>
      <c r="I144" s="16" t="n"/>
      <c r="J144" s="16" t="n"/>
      <c r="K144" s="16" t="n"/>
      <c r="L144" s="16" t="n"/>
      <c r="M144" s="16" t="n"/>
      <c r="N144" s="16" t="n"/>
      <c r="O144" s="16" t="n"/>
      <c r="P144" s="16" t="n"/>
      <c r="Q144" s="16" t="n"/>
      <c r="R144" s="16" t="n"/>
      <c r="S144" s="16" t="n"/>
      <c r="T144" s="16" t="n"/>
      <c r="U144" s="16" t="n"/>
      <c r="V144" s="16" t="n"/>
      <c r="W144" s="16" t="n"/>
      <c r="X144" s="16" t="n"/>
      <c r="Y144" s="16" t="n"/>
      <c r="Z144" s="16" t="n"/>
      <c r="AA144" s="16" t="n"/>
      <c r="AB144" s="16" t="n"/>
      <c r="AC144" s="16" t="n"/>
      <c r="AD144" s="16" t="n"/>
    </row>
    <row r="145">
      <c r="A145" s="17" t="inlineStr">
        <is>
          <t>16.1</t>
        </is>
      </c>
      <c r="B145" s="18" t="inlineStr">
        <is>
          <t>EJECUCIÓN DE ASEO GENERAL, LIMPIEZA Y RETIRO DE SOBRANTES PARA ENTREGA FINAL DEL PROYECTO.</t>
        </is>
      </c>
      <c r="C145" s="19" t="n">
        <v>0.005592855139914888</v>
      </c>
      <c r="D145" s="20" t="n">
        <v>12</v>
      </c>
      <c r="E145" s="21" t="n"/>
      <c r="F145" s="21" t="n"/>
      <c r="G145" s="21" t="n"/>
      <c r="H145" s="21" t="n"/>
      <c r="I145" s="21" t="n"/>
      <c r="J145" s="21" t="n"/>
      <c r="K145" s="21" t="n"/>
      <c r="L145" s="21" t="n"/>
      <c r="M145" s="21" t="n"/>
      <c r="N145" s="21" t="n"/>
      <c r="O145" s="21" t="n"/>
      <c r="P145" s="21" t="n"/>
      <c r="Q145" s="21" t="n"/>
      <c r="R145" s="21" t="n"/>
      <c r="S145" s="21" t="n"/>
      <c r="T145" s="21" t="n"/>
      <c r="U145" s="21" t="n"/>
      <c r="V145" s="21" t="n"/>
      <c r="W145" s="21" t="n"/>
      <c r="X145" s="21" t="n"/>
      <c r="Y145" s="21" t="n"/>
      <c r="Z145" s="21" t="n"/>
      <c r="AA145" s="21" t="inlineStr">
        <is>
          <t>P</t>
        </is>
      </c>
      <c r="AB145" s="21" t="inlineStr">
        <is>
          <t>P</t>
        </is>
      </c>
      <c r="AC145" s="21" t="inlineStr">
        <is>
          <t>P</t>
        </is>
      </c>
      <c r="AD145" s="22">
        <f>SUM(E145:AC145)</f>
        <v/>
      </c>
    </row>
    <row r="147">
      <c r="B147" s="23" t="inlineStr">
        <is>
          <t>% AVANCE EJECUTADO SEMANAL</t>
        </is>
      </c>
      <c r="E147" s="24">
        <f>SUMPRODUCT($C$7:$C$145,E7:E145)</f>
        <v/>
      </c>
      <c r="F147" s="24">
        <f>SUMPRODUCT($C$7:$C$145,F7:F145)</f>
        <v/>
      </c>
      <c r="G147" s="24">
        <f>SUMPRODUCT($C$7:$C$145,G7:G145)</f>
        <v/>
      </c>
      <c r="H147" s="24">
        <f>SUMPRODUCT($C$7:$C$145,H7:H145)</f>
        <v/>
      </c>
      <c r="I147" s="24">
        <f>SUMPRODUCT($C$7:$C$145,I7:I145)</f>
        <v/>
      </c>
      <c r="J147" s="24">
        <f>SUMPRODUCT($C$7:$C$145,J7:J145)</f>
        <v/>
      </c>
      <c r="K147" s="24">
        <f>SUMPRODUCT($C$7:$C$145,K7:K145)</f>
        <v/>
      </c>
      <c r="L147" s="24">
        <f>SUMPRODUCT($C$7:$C$145,L7:L145)</f>
        <v/>
      </c>
      <c r="M147" s="24">
        <f>SUMPRODUCT($C$7:$C$145,M7:M145)</f>
        <v/>
      </c>
      <c r="N147" s="24">
        <f>SUMPRODUCT($C$7:$C$145,N7:N145)</f>
        <v/>
      </c>
      <c r="O147" s="24">
        <f>SUMPRODUCT($C$7:$C$145,O7:O145)</f>
        <v/>
      </c>
      <c r="P147" s="24">
        <f>SUMPRODUCT($C$7:$C$145,P7:P145)</f>
        <v/>
      </c>
      <c r="Q147" s="24">
        <f>SUMPRODUCT($C$7:$C$145,Q7:Q145)</f>
        <v/>
      </c>
      <c r="R147" s="24">
        <f>SUMPRODUCT($C$7:$C$145,R7:R145)</f>
        <v/>
      </c>
      <c r="S147" s="24">
        <f>SUMPRODUCT($C$7:$C$145,S7:S145)</f>
        <v/>
      </c>
      <c r="T147" s="24">
        <f>SUMPRODUCT($C$7:$C$145,T7:T145)</f>
        <v/>
      </c>
      <c r="U147" s="24">
        <f>SUMPRODUCT($C$7:$C$145,U7:U145)</f>
        <v/>
      </c>
      <c r="V147" s="24">
        <f>SUMPRODUCT($C$7:$C$145,V7:V145)</f>
        <v/>
      </c>
      <c r="W147" s="24">
        <f>SUMPRODUCT($C$7:$C$145,W7:W145)</f>
        <v/>
      </c>
      <c r="X147" s="24">
        <f>SUMPRODUCT($C$7:$C$145,X7:X145)</f>
        <v/>
      </c>
      <c r="Y147" s="24">
        <f>SUMPRODUCT($C$7:$C$145,Y7:Y145)</f>
        <v/>
      </c>
      <c r="Z147" s="24">
        <f>SUMPRODUCT($C$7:$C$145,Z7:Z145)</f>
        <v/>
      </c>
      <c r="AA147" s="24">
        <f>SUMPRODUCT($C$7:$C$145,AA7:AA145)</f>
        <v/>
      </c>
      <c r="AB147" s="24">
        <f>SUMPRODUCT($C$7:$C$145,AB7:AB145)</f>
        <v/>
      </c>
      <c r="AC147" s="24">
        <f>SUMPRODUCT($C$7:$C$145,AC7:AC145)</f>
        <v/>
      </c>
    </row>
    <row r="148">
      <c r="B148" s="23" t="inlineStr">
        <is>
          <t>% AVANCE EJECUTADO ACUMULADO</t>
        </is>
      </c>
      <c r="E148" s="24">
        <f>E147</f>
        <v/>
      </c>
      <c r="F148" s="24">
        <f>E148+F147</f>
        <v/>
      </c>
      <c r="G148" s="24">
        <f>F148+G147</f>
        <v/>
      </c>
      <c r="H148" s="24">
        <f>G148+H147</f>
        <v/>
      </c>
      <c r="I148" s="24">
        <f>H148+I147</f>
        <v/>
      </c>
      <c r="J148" s="24">
        <f>I148+J147</f>
        <v/>
      </c>
      <c r="K148" s="24">
        <f>J148+K147</f>
        <v/>
      </c>
      <c r="L148" s="24">
        <f>K148+L147</f>
        <v/>
      </c>
      <c r="M148" s="24">
        <f>L148+M147</f>
        <v/>
      </c>
      <c r="N148" s="24">
        <f>M148+N147</f>
        <v/>
      </c>
      <c r="O148" s="24">
        <f>N148+O147</f>
        <v/>
      </c>
      <c r="P148" s="24">
        <f>O148+P147</f>
        <v/>
      </c>
      <c r="Q148" s="24">
        <f>P148+Q147</f>
        <v/>
      </c>
      <c r="R148" s="24">
        <f>Q148+R147</f>
        <v/>
      </c>
      <c r="S148" s="24">
        <f>R148+S147</f>
        <v/>
      </c>
      <c r="T148" s="24">
        <f>S148+T147</f>
        <v/>
      </c>
      <c r="U148" s="24">
        <f>T148+U147</f>
        <v/>
      </c>
      <c r="V148" s="24">
        <f>U148+V147</f>
        <v/>
      </c>
      <c r="W148" s="24">
        <f>V148+W147</f>
        <v/>
      </c>
      <c r="X148" s="24">
        <f>W148+X147</f>
        <v/>
      </c>
      <c r="Y148" s="24">
        <f>X148+Y147</f>
        <v/>
      </c>
      <c r="Z148" s="24">
        <f>Y148+Z147</f>
        <v/>
      </c>
      <c r="AA148" s="24">
        <f>Z148+AA147</f>
        <v/>
      </c>
      <c r="AB148" s="24">
        <f>AA148+AB147</f>
        <v/>
      </c>
      <c r="AC148" s="24">
        <f>AB148+AC147</f>
        <v/>
      </c>
      <c r="AD148" s="25">
        <f>MAX(E148:AC148)</f>
        <v/>
      </c>
    </row>
    <row r="149">
      <c r="B149" s="23" t="inlineStr">
        <is>
          <t>% AVANCE PROGRAMADO SEMANAL (LÍNEA BASE)</t>
        </is>
      </c>
      <c r="E149" s="24" t="n">
        <v>0.002382311565774134</v>
      </c>
      <c r="F149" s="24" t="n">
        <v>0.004640837567155562</v>
      </c>
      <c r="G149" s="24" t="n">
        <v>0.01295631415649645</v>
      </c>
      <c r="H149" s="24" t="n">
        <v>0.01764782905974209</v>
      </c>
      <c r="I149" s="24" t="n">
        <v>0.01648804562067233</v>
      </c>
      <c r="J149" s="24" t="n">
        <v>0.02519193987508428</v>
      </c>
      <c r="K149" s="24" t="n">
        <v>0.07541910010781293</v>
      </c>
      <c r="L149" s="24" t="n">
        <v>0.03434983605859502</v>
      </c>
      <c r="M149" s="24" t="n">
        <v>0.02003410981529835</v>
      </c>
      <c r="N149" s="24" t="n">
        <v>0.0149819674563707</v>
      </c>
      <c r="O149" s="24" t="n">
        <v>0.02857673381784588</v>
      </c>
      <c r="P149" s="24" t="n">
        <v>0.07768505455318526</v>
      </c>
      <c r="Q149" s="24" t="n">
        <v>0.04809914053492616</v>
      </c>
      <c r="R149" s="24" t="n">
        <v>0.0693229330050578</v>
      </c>
      <c r="S149" s="24" t="n">
        <v>0.06494241547363515</v>
      </c>
      <c r="T149" s="24" t="n">
        <v>0.06258403049965429</v>
      </c>
      <c r="U149" s="24" t="n">
        <v>0.06052050055978449</v>
      </c>
      <c r="V149" s="24" t="n">
        <v>0.06881950213589981</v>
      </c>
      <c r="W149" s="24" t="n">
        <v>0.05383426486115903</v>
      </c>
      <c r="X149" s="24" t="n">
        <v>0.05179025604940525</v>
      </c>
      <c r="Y149" s="24" t="n">
        <v>0.1489288743837325</v>
      </c>
      <c r="Z149" s="24" t="n">
        <v>0.03471030373464231</v>
      </c>
      <c r="AA149" s="24" t="n">
        <v>0.002831200276453342</v>
      </c>
      <c r="AB149" s="24" t="n">
        <v>0.002330356308297872</v>
      </c>
      <c r="AC149" s="24" t="n">
        <v>0.0009321425233191497</v>
      </c>
    </row>
    <row r="150">
      <c r="B150" s="23" t="inlineStr">
        <is>
          <t>% AVANCE PROGRAMADO ACUMULADO (LÍNEA BASE)</t>
        </is>
      </c>
      <c r="E150" s="24" t="n">
        <v>0.002382311565774134</v>
      </c>
      <c r="F150" s="24" t="n">
        <v>0.007023149132929696</v>
      </c>
      <c r="G150" s="24" t="n">
        <v>0.01997946328942615</v>
      </c>
      <c r="H150" s="24" t="n">
        <v>0.03762729234916823</v>
      </c>
      <c r="I150" s="24" t="n">
        <v>0.05411533796984056</v>
      </c>
      <c r="J150" s="24" t="n">
        <v>0.07930727784492485</v>
      </c>
      <c r="K150" s="24" t="n">
        <v>0.1547263779527378</v>
      </c>
      <c r="L150" s="24" t="n">
        <v>0.1890762140113328</v>
      </c>
      <c r="M150" s="24" t="n">
        <v>0.2091103238266311</v>
      </c>
      <c r="N150" s="24" t="n">
        <v>0.2240922912830018</v>
      </c>
      <c r="O150" s="24" t="n">
        <v>0.2526690251008477</v>
      </c>
      <c r="P150" s="24" t="n">
        <v>0.330354079654033</v>
      </c>
      <c r="Q150" s="24" t="n">
        <v>0.3784532201889591</v>
      </c>
      <c r="R150" s="24" t="n">
        <v>0.4477761531940169</v>
      </c>
      <c r="S150" s="24" t="n">
        <v>0.5127185686676521</v>
      </c>
      <c r="T150" s="24" t="n">
        <v>0.5753025991673064</v>
      </c>
      <c r="U150" s="24" t="n">
        <v>0.6358230997270909</v>
      </c>
      <c r="V150" s="24" t="n">
        <v>0.7046426018629908</v>
      </c>
      <c r="W150" s="24" t="n">
        <v>0.7584768667241498</v>
      </c>
      <c r="X150" s="24" t="n">
        <v>0.8102671227735551</v>
      </c>
      <c r="Y150" s="24" t="n">
        <v>0.9591959971572875</v>
      </c>
      <c r="Z150" s="24" t="n">
        <v>0.9939063008919299</v>
      </c>
      <c r="AA150" s="24" t="n">
        <v>0.9967375011683832</v>
      </c>
      <c r="AB150" s="24" t="n">
        <v>0.9990678574766811</v>
      </c>
      <c r="AC150" s="24" t="n">
        <v>1</v>
      </c>
    </row>
  </sheetData>
  <mergeCells count="4">
    <mergeCell ref="E3:N3"/>
    <mergeCell ref="O4:P4"/>
    <mergeCell ref="O3:P3"/>
    <mergeCell ref="E4:N4"/>
  </mergeCells>
  <conditionalFormatting sqref="E7:AC145">
    <cfRule type="expression" priority="1" dxfId="0">
      <formula>UPPER(TRIM(E7))="P"</formula>
    </cfRule>
    <cfRule type="expression" priority="2" dxfId="1">
      <formula>AND(ISNUMBER(E7),E7&gt;0)</formula>
    </cfRule>
  </conditionalFormatting>
  <conditionalFormatting sqref="AD7:AD145">
    <cfRule type="expression" priority="3" dxfId="2">
      <formula>AD7&gt;1.0001</formula>
    </cfRule>
  </conditionalFormatting>
  <dataValidations count="1">
    <dataValidation sqref="E7:AC145" showDropDown="0" showInputMessage="0" showErrorMessage="1" allowBlank="1" errorTitle="Valor no válido" error="Escriba el avance de la semana (por ejemplo 25%) o la letra P para programado." type="custom">
      <formula1>OR(E7="",UPPER(TRIM(E7))="P",AND(ISNUMBER(E7),E7&gt;=0,E7&lt;=1))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NMH Engineering S.A.S.</dc:creator>
  <dc:title xmlns:dc="http://purl.org/dc/elements/1.1/">Cronograma ejecutado</dc:title>
  <dcterms:created xmlns:dcterms="http://purl.org/dc/terms/" xmlns:xsi="http://www.w3.org/2001/XMLSchema-instance" xsi:type="dcterms:W3CDTF">2026-10-22T17:09:53Z</dcterms:created>
  <dcterms:modified xmlns:dcterms="http://purl.org/dc/terms/" xmlns:xsi="http://www.w3.org/2001/XMLSchema-instance" xsi:type="dcterms:W3CDTF">2026-10-22T17:09:53Z</dcterms:modified>
</cp:coreProperties>
</file>