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0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BARANOA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 (LUNES)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TRAZADO, LOCALIZACIÓN Y REPLANTEO GENERAL DEL PROYECTO.</t>
        </is>
      </c>
      <c r="C8" s="19" t="n">
        <v>0.004764623131548269</v>
      </c>
      <c r="D8" s="20" t="n">
        <v>10</v>
      </c>
      <c r="E8" s="21" t="inlineStr">
        <is>
          <t>P</t>
        </is>
      </c>
      <c r="F8" s="21" t="inlineStr">
        <is>
          <t>P</t>
        </is>
      </c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MANUAL EN MATERIAL COMÚN SIN CLASIFICACIÓN.</t>
        </is>
      </c>
      <c r="C10" s="19" t="n">
        <v>0.005463822616679619</v>
      </c>
      <c r="D10" s="20" t="n">
        <v>19</v>
      </c>
      <c r="E10" s="21" t="n"/>
      <c r="F10" s="21" t="inlineStr">
        <is>
          <t>P</t>
        </is>
      </c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0.6</v>
      </c>
      <c r="K10" s="21" t="n">
        <v>0.15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CONSTRUCCIÓN DE SUBBASE GRANULAR PARA MEJORAMIENTO DE ESTRUCTURA DE PAVIMENTO ASFÁLTICO EN FRÍO DE PISTA DE TROTE.</t>
        </is>
      </c>
      <c r="C11" s="19" t="n">
        <v>0.003569051110752719</v>
      </c>
      <c r="D11" s="20" t="n">
        <v>6</v>
      </c>
      <c r="E11" s="21" t="n"/>
      <c r="F11" s="21" t="inlineStr">
        <is>
          <t>P</t>
        </is>
      </c>
      <c r="G11" s="21" t="inlineStr">
        <is>
          <t>P</t>
        </is>
      </c>
      <c r="H11" s="21" t="n">
        <v>0.5</v>
      </c>
      <c r="I11" s="21" t="n">
        <v>0.5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COMPACTADO CON MATERIAL SELECCIONADO PROVENIENTE DE EXCAVACIONES DE CIMENTACIÓN.</t>
        </is>
      </c>
      <c r="C12" s="19" t="n">
        <v>0.003769296176976699</v>
      </c>
      <c r="D12" s="20" t="n">
        <v>13</v>
      </c>
      <c r="E12" s="21" t="n"/>
      <c r="F12" s="21" t="inlineStr">
        <is>
          <t>P</t>
        </is>
      </c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0.5</v>
      </c>
      <c r="O12" s="21" t="n"/>
      <c r="P12" s="21" t="n"/>
      <c r="Q12" s="21" t="n">
        <v>0.25</v>
      </c>
      <c r="R12" s="21" t="n">
        <v>0.25</v>
      </c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INSTALACION BASE GRANULAR PARA SOPORTE DE PAVIMENTO ASFÁLTICO EN FRÍO DE PISTA DE TROTE.</t>
        </is>
      </c>
      <c r="C13" s="19" t="n">
        <v>0.004018205956284417</v>
      </c>
      <c r="D13" s="20" t="n">
        <v>7</v>
      </c>
      <c r="E13" s="21" t="n"/>
      <c r="F13" s="21" t="inlineStr">
        <is>
          <t>P</t>
        </is>
      </c>
      <c r="G13" s="21" t="inlineStr">
        <is>
          <t>P</t>
        </is>
      </c>
      <c r="H13" s="21" t="n"/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0.01587631693883135</v>
      </c>
      <c r="D14" s="20" t="n">
        <v>31</v>
      </c>
      <c r="E14" s="21" t="n"/>
      <c r="F14" s="21" t="inlineStr">
        <is>
          <t>P</t>
        </is>
      </c>
      <c r="G14" s="21" t="inlineStr">
        <is>
          <t>P</t>
        </is>
      </c>
      <c r="H14" s="21" t="n">
        <v>0.5</v>
      </c>
      <c r="I14" s="21" t="n">
        <v>0.5</v>
      </c>
      <c r="J14" s="21" t="inlineStr">
        <is>
          <t>P</t>
        </is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OBRAS ESTRUCTURALES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ELABORADO EN OBRA PARA CAPAS DE LIMPIEZA (SOLADOS).</t>
        </is>
      </c>
      <c r="C16" s="19" t="n">
        <v>0.004706601541899991</v>
      </c>
      <c r="D16" s="20" t="n">
        <v>11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 FABRICADO EN OBRA.</t>
        </is>
      </c>
      <c r="C17" s="19" t="n">
        <v>0.02438184102130481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0.59</v>
      </c>
      <c r="M17" s="21" t="n">
        <v>0.41</v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VIGAS DE AMARRE DE CIMENTACIÓN EN CONCRETO DE 3.000 PSI.</t>
        </is>
      </c>
      <c r="C18" s="19" t="n">
        <v>0.01595133792294987</v>
      </c>
      <c r="D18" s="20" t="n">
        <v>11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0.55</v>
      </c>
      <c r="O18" s="21" t="n">
        <v>0.45</v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ELABORADO EN SITIO.</t>
        </is>
      </c>
      <c r="C19" s="19" t="n">
        <v>0.0181764191719516</v>
      </c>
      <c r="D19" s="20" t="n">
        <v>12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0.29</v>
      </c>
      <c r="Q19" s="21" t="n">
        <v>0.11</v>
      </c>
      <c r="R19" s="21" t="n">
        <v>0.28</v>
      </c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0.02491848766416463</v>
      </c>
      <c r="D20" s="20" t="n">
        <v>13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inlineStr">
        <is>
          <t>P</t>
        </is>
      </c>
      <c r="S20" s="21" t="n">
        <v>0.35</v>
      </c>
      <c r="T20" s="21" t="inlineStr">
        <is>
          <t>P</t>
        </is>
      </c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DOBLADO Y COLOCACIÓN DE ACERO CORRUGADO PDR-60 FY=420 MPA PARA ZAPATAS.</t>
        </is>
      </c>
      <c r="C21" s="19" t="n">
        <v>0.007954096397471636</v>
      </c>
      <c r="D21" s="20" t="n">
        <v>11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DOBLADO Y COLOCACIÓN DE ACERO CORRUGADO PDR-60 FY=420 MPA PARA VIGAS DE CIMENTACIÓN.</t>
        </is>
      </c>
      <c r="C22" s="19" t="n">
        <v>0.01570309420054058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0.4</v>
      </c>
      <c r="N22" s="21" t="n">
        <v>0.6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DOBLADO Y COLOCACIÓN DE ACERO CORRUGADO PDR-60 FY=420 MPA PARA COLUMNAS.</t>
        </is>
      </c>
      <c r="C23" s="19" t="n">
        <v>0.01564902275292532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DOBLADO Y COLOCACIÓN DE ACERO CORRUGADO PDR-60 FY=420 MPA PARA VIGAS AÉREAS.</t>
        </is>
      </c>
      <c r="C24" s="19" t="n">
        <v>0.01195351898832411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0.73</v>
      </c>
      <c r="Q24" s="21" t="n">
        <v>0.27</v>
      </c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PLACA DE TANQUE EN CONCRETO DE 7,5 CM DE ESPESOR REFORZADA CON MALLA ELECTROSOLDADA XX-295.</t>
        </is>
      </c>
      <c r="C25" s="19" t="n">
        <v>0.0001238018892577521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inlineStr">
        <is>
          <t>P</t>
        </is>
      </c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DE 15 CM DE ESPESOR CON MALLA ELECTROSOLDADA XX-295.</t>
        </is>
      </c>
      <c r="C26" s="19" t="n">
        <v>0.0468879429564814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inlineStr">
        <is>
          <t>P</t>
        </is>
      </c>
      <c r="S26" s="21" t="inlineStr">
        <is>
          <t>P</t>
        </is>
      </c>
      <c r="T26" s="21" t="inlineStr">
        <is>
          <t>P</t>
        </is>
      </c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 CON REFUERZO INCLUIDO.</t>
        </is>
      </c>
      <c r="C27" s="19" t="n">
        <v>0.009691385272795524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inlineStr">
        <is>
          <t>P</t>
        </is>
      </c>
      <c r="U27" s="21" t="inlineStr">
        <is>
          <t>P</t>
        </is>
      </c>
      <c r="V27" s="21" t="inlineStr">
        <is>
          <t>P</t>
        </is>
      </c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 CON REFUERZO INCLUIDO.</t>
        </is>
      </c>
      <c r="C28" s="19" t="n">
        <v>0.02927893301622543</v>
      </c>
      <c r="D28" s="20" t="n">
        <v>12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>
        <v>0.3</v>
      </c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PAVIMENTO PEATONAL EN ADOQUÍN CON CAMA DE ARENA, SELLO, COMPACTACIÓN Y LIMPIEZA FINAL.</t>
        </is>
      </c>
      <c r="C29" s="19" t="n">
        <v>0.01818723102992952</v>
      </c>
      <c r="D29" s="20" t="n">
        <v>12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inlineStr">
        <is>
          <t>P</t>
        </is>
      </c>
      <c r="W29" s="21" t="inlineStr">
        <is>
          <t>P</t>
        </is>
      </c>
      <c r="X29" s="21" t="inlineStr">
        <is>
          <t>P</t>
        </is>
      </c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CARPETA ASFÁLTICA EN FRÍO TIPO MDF-19.</t>
        </is>
      </c>
      <c r="C30" s="19" t="n">
        <v>0.02616714008400657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LOSETAS PODOTÁCTILES PARA ACCESIBILIDAD PEATONAL.</t>
        </is>
      </c>
      <c r="C31" s="19" t="n">
        <v>0.01179289350358989</v>
      </c>
      <c r="D31" s="20" t="n">
        <v>9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inlineStr">
        <is>
          <t>P</t>
        </is>
      </c>
      <c r="U31" s="21" t="inlineStr">
        <is>
          <t>P</t>
        </is>
      </c>
      <c r="V31" s="21" t="inlineStr">
        <is>
          <t>P</t>
        </is>
      </c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ASTM A536, PINTADO Y EMPOTRADO EN CONCRETO.</t>
        </is>
      </c>
      <c r="C32" s="19" t="n">
        <v>0.0008278411710506627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inlineStr">
        <is>
          <t>P</t>
        </is>
      </c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MUROS Y REVESTIMIENTOS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DE 12 CM DE ESPESOR, INCLUYE ACERO DE DOVELAS.</t>
        </is>
      </c>
      <c r="C34" s="19" t="n">
        <v>0.0413111574060786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inlineStr">
        <is>
          <t>P</t>
        </is>
      </c>
      <c r="U34" s="21" t="inlineStr">
        <is>
          <t>P</t>
        </is>
      </c>
      <c r="V34" s="21" t="inlineStr">
        <is>
          <t>P</t>
        </is>
      </c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1:4 PARA NIVELACIÓN Y PREPARACIÓN DE PISOS, E=4 CM.</t>
        </is>
      </c>
      <c r="C35" s="19" t="n">
        <v>0.004820178381099588</v>
      </c>
      <c r="D35" s="20" t="n">
        <v>7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REPELLO LISO EN MORTERO 1:4 SOBRE MUROS, INCLUYE FILOS Y JUNTAS DE DILATACIÓN.</t>
        </is>
      </c>
      <c r="C36" s="19" t="n">
        <v>0.00287364252382432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inlineStr">
        <is>
          <t>P</t>
        </is>
      </c>
      <c r="U36" s="21" t="inlineStr">
        <is>
          <t>P</t>
        </is>
      </c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REPELLO LISO IMPERMEABILIZADO EN MORTERO 1:4 SOBRE MUROS, INCLUYE FILOS Y JUNTAS DE DILATACIÓN.</t>
        </is>
      </c>
      <c r="C37" s="19" t="n">
        <v>0.001341645558199973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DE 3.000 PSI SOBRE MUROS.</t>
        </is>
      </c>
      <c r="C38" s="19" t="n">
        <v>0.002850600307090841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EN MURO DE BORDE CON FORMACIÓN DE CORTAGOTERO.</t>
        </is>
      </c>
      <c r="C39" s="19" t="n">
        <v>0.0004506634701125623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inlineStr">
        <is>
          <t>P</t>
        </is>
      </c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MAMPOSTERÍA CON ACABADO EN GRANITO PULIDO, INCLUYE GRIFERÍA, PAÑETE, PULIDA Y BRILLADA.</t>
        </is>
      </c>
      <c r="C40" s="19" t="n">
        <v>0.0002149209925206824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inlineStr">
        <is>
          <t>P</t>
        </is>
      </c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 ARQUITECTÓNICOS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DE 4.000 PSI.</t>
        </is>
      </c>
      <c r="C42" s="19" t="n">
        <v>0.02521658121685484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CERÁMICO ANTIDESLIZANTE FORMATO 30X30 PARA BAÑOS Y ÁREAS HÚMEDAS.</t>
        </is>
      </c>
      <c r="C43" s="19" t="n">
        <v>0.001991244908867702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DE 3.000 PSI.</t>
        </is>
      </c>
      <c r="C44" s="19" t="n">
        <v>0.003968753347990113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REVESTIMIENTO CERÁMICO PARA MUROS FORMATO 30X30 HASTA ALTURA DE 2,00 M.</t>
        </is>
      </c>
      <c r="C45" s="19" t="n">
        <v>0.005331056493185314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SOBRE SUPERFICIES DE MURO.</t>
        </is>
      </c>
      <c r="C46" s="19" t="n">
        <v>0.002449299291634454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SISTEMA DE PINTURA BLANCA TIPO 1, INCLUYE FILOS Y DILATACIONES.</t>
        </is>
      </c>
      <c r="C47" s="19" t="n">
        <v>0.003839820294343501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RECUBRIMIENTO EPÓXICO A BASE DE RESINA ACRÍLICA TERMOPLÁSTICA.</t>
        </is>
      </c>
      <c r="C48" s="19" t="n">
        <v>0.02194106317655459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 DE ÁREAS.</t>
        </is>
      </c>
      <c r="C49" s="19" t="n">
        <v>0.001419615708216479</v>
      </c>
      <c r="D49" s="20" t="n">
        <v>6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0.1091345224026924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n">
        <v>0.04</v>
      </c>
      <c r="R51" s="21" t="n">
        <v>0.13</v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0.01252811527073654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INCLUYE PERFILERÍA Y UNIONES SOLDADAS.</t>
        </is>
      </c>
      <c r="C53" s="19" t="n">
        <v>0.03250622538651312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TERMOACÚSTICA TIPO SÁNDWICH DE 18 MM DE ESPESOR.</t>
        </is>
      </c>
      <c r="C54" s="19" t="n">
        <v>0.07807326095588064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LIVIANA EN POLICARBONATO.</t>
        </is>
      </c>
      <c r="C55" s="19" t="n">
        <v>0.002666587535058537</v>
      </c>
      <c r="D55" s="20" t="n">
        <v>4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METÁLICA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7" s="19" t="n">
        <v>0.007147382220966628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8" s="19" t="n">
        <v>0.001523497283306681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9" s="19" t="n">
        <v>0.001308022107339901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60" s="19" t="n">
        <v>0.0007518844746618882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inlineStr">
        <is>
          <t>P</t>
        </is>
      </c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1" s="19" t="n">
        <v>0.001759709511550449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inlineStr">
        <is>
          <t>P</t>
        </is>
      </c>
      <c r="W61" s="21" t="inlineStr">
        <is>
          <t>P</t>
        </is>
      </c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2" s="19" t="n">
        <v>0.004007069278186794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REDES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PVC PRESIÓN Ø 1/2", INCLUYE ACCESORIOS DE CONEXIÓN Y FIJACIÓN.</t>
        </is>
      </c>
      <c r="C64" s="19" t="n">
        <v>5.831747736438465e-05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inlineStr">
        <is>
          <t>P</t>
        </is>
      </c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PVC PRESIÓN Ø 3/4", INCLUYE ACCESORIOS DE CONEXIÓN Y FIJACIÓN.</t>
        </is>
      </c>
      <c r="C65" s="19" t="n">
        <v>0.001615461154576632</v>
      </c>
      <c r="D65" s="20" t="n">
        <v>7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inlineStr">
        <is>
          <t>P</t>
        </is>
      </c>
      <c r="W65" s="21" t="inlineStr">
        <is>
          <t>P</t>
        </is>
      </c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PVC PRESIÓN Ø 1", INCLUYE ACCESORIOS DE CONEXIÓN Y FIJACIÓN.</t>
        </is>
      </c>
      <c r="C66" s="19" t="n">
        <v>0.00131416280302413</v>
      </c>
      <c r="D66" s="20" t="n">
        <v>5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inlineStr">
        <is>
          <t>P</t>
        </is>
      </c>
      <c r="W66" s="21" t="inlineStr">
        <is>
          <t>P</t>
        </is>
      </c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EJECUCIÓN DE PUNTO HIDRÁULICO PARA AGUA FRÍA EN PVC PRESIÓN Ø 1/2".</t>
        </is>
      </c>
      <c r="C67" s="19" t="n">
        <v>0.0005867213985243272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VÁLVULA DE REGISTRO TIPO BOLA EN PVC PRESIÓN Ø 3/4".</t>
        </is>
      </c>
      <c r="C68" s="19" t="n">
        <v>0.0007256446716555144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inlineStr">
        <is>
          <t>P</t>
        </is>
      </c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TIPO CORTINA Ø 1".</t>
        </is>
      </c>
      <c r="C69" s="19" t="n">
        <v>0.0004326330408358461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inlineStr">
        <is>
          <t>P</t>
        </is>
      </c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Ø 1".</t>
        </is>
      </c>
      <c r="C70" s="19" t="n">
        <v>0.0001539503712315117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inlineStr">
        <is>
          <t>P</t>
        </is>
      </c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Ø 1" CON BOLA DE COBRE.</t>
        </is>
      </c>
      <c r="C71" s="19" t="n">
        <v>0.0001213348480404169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inlineStr">
        <is>
          <t>P</t>
        </is>
      </c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CAJA PARA MEDICIÓN DE CONSUMO DE ACUEDUCTO.</t>
        </is>
      </c>
      <c r="C72" s="19" t="n">
        <v>0.000149337894205036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inlineStr">
        <is>
          <t>P</t>
        </is>
      </c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DE AGUA DE 2.000 L, INCLUYE ACCESORIOS DE CONTROL Y CONEXIÓN.</t>
        </is>
      </c>
      <c r="C73" s="19" t="n">
        <v>0.0007411774714738128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inlineStr">
        <is>
          <t>P</t>
        </is>
      </c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EJECUCIÓN DE ACOMETIDA HIDRÁULICA PRINCIPAL, INCLUYE REGISTRO DE INSPECCIÓN CON TAPA.</t>
        </is>
      </c>
      <c r="C74" s="19" t="n">
        <v>0.0002443210583280229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inlineStr">
        <is>
          <t>P</t>
        </is>
      </c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LB.</t>
        </is>
      </c>
      <c r="C75" s="19" t="n">
        <v>0.0002322796888074175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inlineStr">
        <is>
          <t>P</t>
        </is>
      </c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REDES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PVC Ø 2", INCLUYE ACCESORIOS Y SOPORTES.</t>
        </is>
      </c>
      <c r="C77" s="19" t="n">
        <v>0.001894260180328465</v>
      </c>
      <c r="D77" s="20" t="n">
        <v>7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PVC Ø 4", INCLUYE ACCESORIOS Y SOPORTES.</t>
        </is>
      </c>
      <c r="C78" s="19" t="n">
        <v>0.00112899773219522</v>
      </c>
      <c r="D78" s="20" t="n">
        <v>4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PVC CORRUGADA TIPO NOVAFORT Ø 6", INCLUYE ACCESORIOS Y SOPORTES.</t>
        </is>
      </c>
      <c r="C79" s="19" t="n">
        <v>0.005868996621092766</v>
      </c>
      <c r="D79" s="20" t="n">
        <v>7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Ø 2", INCLUYE ACCESORIOS Y SOPORTES.</t>
        </is>
      </c>
      <c r="C80" s="19" t="n">
        <v>0.0009638465900215052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EJECUCIÓN DE PUNTO SANITARIO EN PVC Ø 2".</t>
        </is>
      </c>
      <c r="C81" s="19" t="n">
        <v>0.0007848557791501418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EJECUCIÓN DE PUNTO SANITARIO EN PVC Ø 4".</t>
        </is>
      </c>
      <c r="C82" s="19" t="n">
        <v>0.000532633690883332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EJECUCIÓN DE PUNTO SANITARIO SIFONADO EN PVC Ø 2".</t>
        </is>
      </c>
      <c r="C83" s="19" t="n">
        <v>0.0002093336598225373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TAPA.</t>
        </is>
      </c>
      <c r="C84" s="19" t="n">
        <v>0.0005181853900295382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SANITARIA 60 X 60 CM CON MARCO Y TAPA.</t>
        </is>
      </c>
      <c r="C85" s="19" t="n">
        <v>0.002039004244325535</v>
      </c>
      <c r="D85" s="20" t="n">
        <v>3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REGISTRO SANITARIO 1 M ALCANTARILLADO MUNICIPAL Incluye Suministro transporte y construccion de concreto de 3000 psi para muros y losa de fondo de espesor 10cm y seccion 60x60, concreto para tapa de espesor 5 cm y seccion 70x70, tapa con manija en varila de 1/2" y refuerzo en acero G60, losa de fondo y tapa. la excavacion esta en su respectivo item</t>
        </is>
      </c>
      <c r="C86" s="19" t="n">
        <v>0.001628198423364007</v>
      </c>
      <c r="D86" s="20" t="n">
        <v>5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SANITARIA.</t>
        </is>
      </c>
      <c r="C87" s="19" t="n">
        <v>0.0001798194754859195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REDES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PVC Ø 3" PARA DRENAJE PLUVIAL, INCLUYE CAMA DE ARENA.</t>
        </is>
      </c>
      <c r="C89" s="19" t="n">
        <v>0.001288905389004103</v>
      </c>
      <c r="D89" s="20" t="n">
        <v>15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inlineStr">
        <is>
          <t>P</t>
        </is>
      </c>
      <c r="R89" s="21" t="inlineStr">
        <is>
          <t>P</t>
        </is>
      </c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PVC Ø 4" PARA DRENAJE PLUVIAL, INCLUYE CAMA DE ARENA.</t>
        </is>
      </c>
      <c r="C90" s="19" t="n">
        <v>0.005185438564685622</v>
      </c>
      <c r="D90" s="20" t="n">
        <v>10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inlineStr">
        <is>
          <t>P</t>
        </is>
      </c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CAPTADORA TIPO DOMO.</t>
        </is>
      </c>
      <c r="C91" s="19" t="n">
        <v>6.052309764494599e-05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RECOLECCIÓN DE AGUAS LLUVIAS DE 0,40 X 0,40 M.</t>
        </is>
      </c>
      <c r="C92" s="19" t="n">
        <v>0.005515361945680941</v>
      </c>
      <c r="D92" s="20" t="n">
        <v>9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inlineStr">
        <is>
          <t>P</t>
        </is>
      </c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FABRICADA EN LÁMINA GALVANIZADA.</t>
        </is>
      </c>
      <c r="C93" s="19" t="n">
        <v>0.002416113697907891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DOTACIÓN SANITARIA,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GRIFERÍA CON SIFÓN PARA LAVAMANOS DE EMPOTRAR.</t>
        </is>
      </c>
      <c r="C95" s="19" t="n">
        <v>0.0007509573548456028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MOVILIDAD REDUCIDA, INCLUYE ACCESORIOS DE FIJACIÓN.</t>
        </is>
      </c>
      <c r="C96" s="19" t="n">
        <v>0.001746167147727114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INCLUYE ELEMENTOS DE ANCLAJE Y FIJACIÓN.</t>
        </is>
      </c>
      <c r="C97" s="19" t="n">
        <v>0.001890912703469664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 1".</t>
        </is>
      </c>
      <c r="C98" s="19" t="n">
        <v>0.000151827617412406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SOSCO.</t>
        </is>
      </c>
      <c r="C99" s="19" t="n">
        <v>0.0009582667160507638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LAVAMANOS.</t>
        </is>
      </c>
      <c r="C100" s="19" t="n">
        <v>0.001725268539414562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ACCESIBLE DE 1,00 M.</t>
        </is>
      </c>
      <c r="C101" s="19" t="n">
        <v>0.001673553452960698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DE 1,00 X 0,60 M.</t>
        </is>
      </c>
      <c r="C102" s="19" t="n">
        <v>0.0005145432934382896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 CON SUS RESPECTIVOS ACCESORIOS.</t>
        </is>
      </c>
      <c r="C103" s="19" t="n">
        <v>0.00109109247952939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TERMINAL TIPO JARDÍN.</t>
        </is>
      </c>
      <c r="C104" s="19" t="n">
        <v>0.0002234090243061439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INOXIDABLE.</t>
        </is>
      </c>
      <c r="C105" s="19" t="n">
        <v>0.0002157339938076906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EMPOTRAR.</t>
        </is>
      </c>
      <c r="C106" s="19" t="n">
        <v>0.001677296242371897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0.0007789513013627894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REDES ELÉCTRICAS</t>
        </is>
      </c>
      <c r="C108" s="14">
        <f>SUM(C109:C120)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CON BRAZO SENCILLO DE 1,0 M, INCLUYE PLANTILLA DE ANCLAJE.</t>
        </is>
      </c>
      <c r="C109" s="19" t="n">
        <v>0.01839090360515735</v>
      </c>
      <c r="D109" s="20" t="n">
        <v>7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 DE CONCRETO DE 3.000 PSI PARA ANCLAJE DE POSTE METÁLICO.</t>
        </is>
      </c>
      <c r="C110" s="19" t="n">
        <v>0.00616492685194552</v>
      </c>
      <c r="D110" s="20" t="n">
        <v>9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GENERAL DE DISTRIBUCIÓN CON SISTEMA DE PROTECCIONES.</t>
        </is>
      </c>
      <c r="C111" s="19" t="n">
        <v>0.000609122940408734</v>
      </c>
      <c r="D111" s="20" t="n">
        <v>3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SECUNDARIO DE 8 A 12 CIRCUITOS CON BREAKERS.</t>
        </is>
      </c>
      <c r="C112" s="19" t="n">
        <v>0.0003484926287396829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inlineStr">
        <is>
          <t>P</t>
        </is>
      </c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CONSTRUCCIÓN DE RED ELÉCTRICA SUBTERRÁNEA EN BAJA TENSIÓN CON CONDUCTOR #6 AWG Y DUCTERÍA PVC SCH 40.</t>
        </is>
      </c>
      <c r="C113" s="19" t="n">
        <v>0.001258355933303845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inlineStr">
        <is>
          <t>P</t>
        </is>
      </c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EJECUCIÓN DE SALIDA PARA TOMACORRIENTE NORMAL, INCLUYE APARATO Y ELEMENTOS DE FIJACIÓN.</t>
        </is>
      </c>
      <c r="C114" s="19" t="n">
        <v>0.00149160525667375</v>
      </c>
      <c r="D114" s="20" t="n">
        <v>5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inlineStr">
        <is>
          <t>P</t>
        </is>
      </c>
      <c r="W114" s="21" t="inlineStr">
        <is>
          <t>P</t>
        </is>
      </c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DE DIFUSIÓN VERTICAL DE 2,40 M.</t>
        </is>
      </c>
      <c r="C115" s="19" t="n">
        <v>0.005754963867180616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EJECUCIÓN DE PUNTO DE ILUMINACIÓN INTERIOR 110V CON CONDUCTOR #12 AWG Y CANALIZACIÓN PVC SCH 40.</t>
        </is>
      </c>
      <c r="C116" s="19" t="n">
        <v>0.002679450856339035</v>
      </c>
      <c r="D116" s="20" t="n">
        <v>8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EJECUCIÓN DE PUNTO PARA INTERRUPTOR SENCILLO CON CONDUCTOR #12 AWG Y CAJA DE CONEXIÓN.</t>
        </is>
      </c>
      <c r="C117" s="19" t="n">
        <v>0.001095896645850142</v>
      </c>
      <c r="D117" s="20" t="n">
        <v>4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inlineStr">
        <is>
          <t>P</t>
        </is>
      </c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DE 18W PARA ILUMINACIÓN INTERIOR.</t>
        </is>
      </c>
      <c r="C118" s="19" t="n">
        <v>0.001859099739347212</v>
      </c>
      <c r="D118" s="20" t="n">
        <v>7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inlineStr">
        <is>
          <t>P</t>
        </is>
      </c>
      <c r="W118" s="21" t="inlineStr">
        <is>
          <t>P</t>
        </is>
      </c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EJECUCIÓN DE PUNTO PARA INTERRUPTOR DOBLE O CONMUTABLE CON CANALIZACIÓN PVC SCH 40.</t>
        </is>
      </c>
      <c r="C119" s="19" t="n">
        <v>0.0002368354795056247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inlineStr">
        <is>
          <t>P</t>
        </is>
      </c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 ELÉCTRICO DE 40 X 40 CM.</t>
        </is>
      </c>
      <c r="C120" s="19" t="n">
        <v>0.001253093055247763</v>
      </c>
      <c r="D120" s="20" t="n">
        <v>5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inlineStr">
        <is>
          <t>P</t>
        </is>
      </c>
      <c r="W120" s="21" t="inlineStr">
        <is>
          <t>P</t>
        </is>
      </c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2" t="inlineStr">
        <is>
          <t>13</t>
        </is>
      </c>
      <c r="B121" s="13" t="inlineStr">
        <is>
          <t>SISTEMA SOLAR FOTOVOLTAICO</t>
        </is>
      </c>
      <c r="C121" s="14">
        <f>SUM(C122:C131)</f>
        <v/>
      </c>
      <c r="D121" s="15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</row>
    <row r="122">
      <c r="A122" s="17" t="inlineStr">
        <is>
          <t>13.1</t>
        </is>
      </c>
      <c r="B122" s="18" t="inlineStr">
        <is>
          <t>SUMINISTRO E INSTALACIÓN DE LUMINARIA SOLAR LED PARA ALUMBRADO EXTERIOR DE 35W, INCLUYE MONTAJE Y CONEXIÓN.</t>
        </is>
      </c>
      <c r="C122" s="19" t="n">
        <v>0.09322397329134009</v>
      </c>
      <c r="D122" s="20" t="n">
        <v>7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inlineStr">
        <is>
          <t>P</t>
        </is>
      </c>
      <c r="Y122" s="21" t="inlineStr">
        <is>
          <t>P</t>
        </is>
      </c>
      <c r="Z122" s="21" t="n"/>
      <c r="AA122" s="21" t="n"/>
      <c r="AB122" s="21" t="n"/>
      <c r="AC122" s="21" t="n"/>
      <c r="AD122" s="22">
        <f>SUM(E122:AC122)</f>
        <v/>
      </c>
    </row>
    <row r="123">
      <c r="A123" s="17" t="inlineStr">
        <is>
          <t>13.2</t>
        </is>
      </c>
      <c r="B123" s="18" t="inlineStr">
        <is>
          <t>SUMINISTRO E INSTALACIÓN DE REFLECTOR SOLAR LED DE 35W PARA EXTERIORES Y SALA POLIVALENTE.</t>
        </is>
      </c>
      <c r="C123" s="19" t="n">
        <v>0.003321963535843373</v>
      </c>
      <c r="D123" s="20" t="n">
        <v>4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n"/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13.3</t>
        </is>
      </c>
      <c r="B124" s="18" t="inlineStr">
        <is>
          <t>SUMINISTRO E INSTALACIÓN DE MÓDULO FOTOVOLTAICO DE 630W CON ESTRUCTURA DE SOPORTE.</t>
        </is>
      </c>
      <c r="C124" s="19" t="n">
        <v>0.008295170725110101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13.4</t>
        </is>
      </c>
      <c r="B125" s="18" t="inlineStr">
        <is>
          <t>SUMINISTRO E INSTALACIÓN DE BANCO DE BATERÍAS DE LITIO 200AH - 51.2V, INCLUYE SISTEMA BMS Y CABLEADO.</t>
        </is>
      </c>
      <c r="C125" s="19" t="n">
        <v>0.01218324495804303</v>
      </c>
      <c r="D125" s="20" t="n">
        <v>3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13.5</t>
        </is>
      </c>
      <c r="B126" s="18" t="inlineStr">
        <is>
          <t>SUMINISTRO E INSTALACIÓN DE INVERSOR/CARGADOR HÍBRIDO DE 10KW Y 48V.</t>
        </is>
      </c>
      <c r="C126" s="19" t="n">
        <v>0.009407522815358385</v>
      </c>
      <c r="D126" s="20" t="n">
        <v>4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13.6</t>
        </is>
      </c>
      <c r="B127" s="18" t="inlineStr">
        <is>
          <t>SUMINISTRO E INSTALACIÓN DE CABLEADO FOTOVOLTAICO DC 4 MM² PARA INTERCONEXIÓN DE STRINGS.</t>
        </is>
      </c>
      <c r="C127" s="19" t="n">
        <v>0.003128686278502876</v>
      </c>
      <c r="D127" s="20" t="n">
        <v>8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inlineStr">
        <is>
          <t>P</t>
        </is>
      </c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13.7</t>
        </is>
      </c>
      <c r="B128" s="18" t="inlineStr">
        <is>
          <t>SUMINISTRO E INSTALACIÓN DE CABLEADO AC #6 AWG PARA SALIDA DE INVERSOR.</t>
        </is>
      </c>
      <c r="C128" s="19" t="n">
        <v>0.0005843674241557053</v>
      </c>
      <c r="D128" s="20" t="n">
        <v>2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n"/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13.8</t>
        </is>
      </c>
      <c r="B129" s="18" t="inlineStr">
        <is>
          <t>SUMINISTRO E INSTALACIÓN DE TABLERO DE PROTECCIONES DC/AC EN GABINETE IP65, INCLUYE BREAKERS, DPS Y FUSIBLES.</t>
        </is>
      </c>
      <c r="C129" s="19" t="n">
        <v>0.001881832448728346</v>
      </c>
      <c r="D129" s="20" t="n">
        <v>5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13.9</t>
        </is>
      </c>
      <c r="B130" s="18" t="inlineStr">
        <is>
          <t>SUMINISTRO E INSTALACIÓN DE CANALIZACIÓN EN TUBERÍA IMC DE 1-1/4", INCLUYE ACCESORIOS Y SOPORTERÍA.</t>
        </is>
      </c>
      <c r="C130" s="19" t="n">
        <v>0.0007521798402670766</v>
      </c>
      <c r="D130" s="20" t="n">
        <v>2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13.10</t>
        </is>
      </c>
      <c r="B131" s="18" t="inlineStr">
        <is>
          <t>SUMINISTRO E INSTALACIÓN DE SENSOR DE MOVIMIENTO PARA BAÑOS.</t>
        </is>
      </c>
      <c r="C131" s="19" t="n">
        <v>9.784060259136148e-05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n"/>
      <c r="Z131" s="21" t="n"/>
      <c r="AA131" s="21" t="n"/>
      <c r="AB131" s="21" t="n"/>
      <c r="AC131" s="21" t="n"/>
      <c r="AD131" s="22">
        <f>SUM(E131:AC131)</f>
        <v/>
      </c>
    </row>
    <row r="132">
      <c r="A132" s="12" t="inlineStr">
        <is>
          <t>14</t>
        </is>
      </c>
      <c r="B132" s="13" t="inlineStr">
        <is>
          <t>EQUIPAMIENTO BIOSALUDABLE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0.001769048285783582</v>
      </c>
      <c r="D133" s="20" t="n">
        <v>1</v>
      </c>
      <c r="E133" s="21" t="n"/>
      <c r="F133" s="21" t="n"/>
      <c r="G133" s="21" t="n"/>
      <c r="H133" s="21" t="n"/>
      <c r="I133" s="21" t="n"/>
      <c r="J133" s="21" t="n"/>
      <c r="K133" s="21" t="inlineStr">
        <is>
          <t>P</t>
        </is>
      </c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2">
        <f>SUM(E133:AC133)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0.001945426304445413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0.003712408522738158</v>
      </c>
      <c r="D135" s="20" t="n">
        <v>2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inlineStr">
        <is>
          <t>P</t>
        </is>
      </c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0.00210755218678417</v>
      </c>
      <c r="D136" s="20" t="n">
        <v>1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0.003930744866537015</v>
      </c>
      <c r="D137" s="20" t="n">
        <v>2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inlineStr">
        <is>
          <t>P</t>
        </is>
      </c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0.001965372433268507</v>
      </c>
      <c r="D138" s="20" t="n">
        <v>1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SUM(C140:C143)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Y 15 CM DE ESPESOR.</t>
        </is>
      </c>
      <c r="C140" s="19" t="n">
        <v>0.02588948522703848</v>
      </c>
      <c r="D140" s="20" t="n">
        <v>2</v>
      </c>
      <c r="E140" s="21" t="n"/>
      <c r="F140" s="21" t="n"/>
      <c r="G140" s="21" t="n"/>
      <c r="H140" s="21" t="n"/>
      <c r="I140" s="21" t="n"/>
      <c r="J140" s="21" t="n"/>
      <c r="K140" s="21" t="inlineStr">
        <is>
          <t>P</t>
        </is>
      </c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2">
        <f>SUM(E140:AC140)</f>
        <v/>
      </c>
    </row>
    <row r="141">
      <c r="A141" s="17" t="inlineStr">
        <is>
          <t>15.2</t>
        </is>
      </c>
      <c r="B141" s="18" t="inlineStr">
        <is>
          <t>EJECUCIÓN DE ACTIVIDADES DE EMBELLECIMIENTO Y EMPRADIZACIÓN DE ÁREAS INTERVENIDAS.</t>
        </is>
      </c>
      <c r="C141" s="19" t="n">
        <v>0.0239632576869303</v>
      </c>
      <c r="D141" s="20" t="n">
        <v>10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inlineStr">
        <is>
          <t>P</t>
        </is>
      </c>
      <c r="M141" s="21" t="inlineStr">
        <is>
          <t>P</t>
        </is>
      </c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15.3</t>
        </is>
      </c>
      <c r="B142" s="18" t="inlineStr">
        <is>
          <t>SUMINISTRO E INSTALACIÓN DE ÁRBOL NATIVO TIPO CASSIA FISTULA (LLUVIA DE ORO) DE 1,0 A 1,5 M DE ALTURA.</t>
        </is>
      </c>
      <c r="C142" s="19" t="n">
        <v>0.004559221712812985</v>
      </c>
      <c r="D142" s="20" t="n">
        <v>3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0.009317878608310999</v>
      </c>
      <c r="D143" s="20" t="n">
        <v>2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2" t="inlineStr">
        <is>
          <t>16</t>
        </is>
      </c>
      <c r="B144" s="13" t="inlineStr">
        <is>
          <t>LIMPIEZA FINAL DE OBRA</t>
        </is>
      </c>
      <c r="C144" s="14">
        <f>SUM(C145:C145)</f>
        <v/>
      </c>
      <c r="D144" s="15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</row>
    <row r="145">
      <c r="A145" s="17" t="inlineStr">
        <is>
          <t>16.1</t>
        </is>
      </c>
      <c r="B145" s="18" t="inlineStr">
        <is>
          <t>EJECUCIÓN DE ASEO GENERAL, LIMPIEZA Y RETIRO DE SOBRANTES PARA ENTREGA FINAL DEL PROYECTO.</t>
        </is>
      </c>
      <c r="C145" s="19" t="n">
        <v>0.005592855139914888</v>
      </c>
      <c r="D145" s="20" t="n">
        <v>12</v>
      </c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inlineStr">
        <is>
          <t>P</t>
        </is>
      </c>
      <c r="AB145" s="21" t="inlineStr">
        <is>
          <t>P</t>
        </is>
      </c>
      <c r="AC145" s="21" t="inlineStr">
        <is>
          <t>P</t>
        </is>
      </c>
      <c r="AD145" s="22">
        <f>SUM(E145:AC145)</f>
        <v/>
      </c>
    </row>
    <row r="147">
      <c r="B147" s="23" t="inlineStr">
        <is>
          <t>% AVANCE EJECUTADO SEMANAL</t>
        </is>
      </c>
      <c r="E147" s="24">
        <f>SUMPRODUCT($C$7:$C$145,E7:E145)</f>
        <v/>
      </c>
      <c r="F147" s="24">
        <f>SUMPRODUCT($C$7:$C$145,F7:F145)</f>
        <v/>
      </c>
      <c r="G147" s="24">
        <f>SUMPRODUCT($C$7:$C$145,G7:G145)</f>
        <v/>
      </c>
      <c r="H147" s="24">
        <f>SUMPRODUCT($C$7:$C$145,H7:H145)</f>
        <v/>
      </c>
      <c r="I147" s="24">
        <f>SUMPRODUCT($C$7:$C$145,I7:I145)</f>
        <v/>
      </c>
      <c r="J147" s="24">
        <f>SUMPRODUCT($C$7:$C$145,J7:J145)</f>
        <v/>
      </c>
      <c r="K147" s="24">
        <f>SUMPRODUCT($C$7:$C$145,K7:K145)</f>
        <v/>
      </c>
      <c r="L147" s="24">
        <f>SUMPRODUCT($C$7:$C$145,L7:L145)</f>
        <v/>
      </c>
      <c r="M147" s="24">
        <f>SUMPRODUCT($C$7:$C$145,M7:M145)</f>
        <v/>
      </c>
      <c r="N147" s="24">
        <f>SUMPRODUCT($C$7:$C$145,N7:N145)</f>
        <v/>
      </c>
      <c r="O147" s="24">
        <f>SUMPRODUCT($C$7:$C$145,O7:O145)</f>
        <v/>
      </c>
      <c r="P147" s="24">
        <f>SUMPRODUCT($C$7:$C$145,P7:P145)</f>
        <v/>
      </c>
      <c r="Q147" s="24">
        <f>SUMPRODUCT($C$7:$C$145,Q7:Q145)</f>
        <v/>
      </c>
      <c r="R147" s="24">
        <f>SUMPRODUCT($C$7:$C$145,R7:R145)</f>
        <v/>
      </c>
      <c r="S147" s="24">
        <f>SUMPRODUCT($C$7:$C$145,S7:S145)</f>
        <v/>
      </c>
      <c r="T147" s="24">
        <f>SUMPRODUCT($C$7:$C$145,T7:T145)</f>
        <v/>
      </c>
      <c r="U147" s="24">
        <f>SUMPRODUCT($C$7:$C$145,U7:U145)</f>
        <v/>
      </c>
      <c r="V147" s="24">
        <f>SUMPRODUCT($C$7:$C$145,V7:V145)</f>
        <v/>
      </c>
      <c r="W147" s="24">
        <f>SUMPRODUCT($C$7:$C$145,W7:W145)</f>
        <v/>
      </c>
      <c r="X147" s="24">
        <f>SUMPRODUCT($C$7:$C$145,X7:X145)</f>
        <v/>
      </c>
      <c r="Y147" s="24">
        <f>SUMPRODUCT($C$7:$C$145,Y7:Y145)</f>
        <v/>
      </c>
      <c r="Z147" s="24">
        <f>SUMPRODUCT($C$7:$C$145,Z7:Z145)</f>
        <v/>
      </c>
      <c r="AA147" s="24">
        <f>SUMPRODUCT($C$7:$C$145,AA7:AA145)</f>
        <v/>
      </c>
      <c r="AB147" s="24">
        <f>SUMPRODUCT($C$7:$C$145,AB7:AB145)</f>
        <v/>
      </c>
      <c r="AC147" s="24">
        <f>SUMPRODUCT($C$7:$C$145,AC7:AC145)</f>
        <v/>
      </c>
    </row>
    <row r="148">
      <c r="B148" s="23" t="inlineStr">
        <is>
          <t>% AVANCE EJECUTADO ACUMULADO</t>
        </is>
      </c>
      <c r="E148" s="24">
        <f>E147</f>
        <v/>
      </c>
      <c r="F148" s="24">
        <f>E148+F147</f>
        <v/>
      </c>
      <c r="G148" s="24">
        <f>F148+G147</f>
        <v/>
      </c>
      <c r="H148" s="24">
        <f>G148+H147</f>
        <v/>
      </c>
      <c r="I148" s="24">
        <f>H148+I147</f>
        <v/>
      </c>
      <c r="J148" s="24">
        <f>I148+J147</f>
        <v/>
      </c>
      <c r="K148" s="24">
        <f>J148+K147</f>
        <v/>
      </c>
      <c r="L148" s="24">
        <f>K148+L147</f>
        <v/>
      </c>
      <c r="M148" s="24">
        <f>L148+M147</f>
        <v/>
      </c>
      <c r="N148" s="24">
        <f>M148+N147</f>
        <v/>
      </c>
      <c r="O148" s="24">
        <f>N148+O147</f>
        <v/>
      </c>
      <c r="P148" s="24">
        <f>O148+P147</f>
        <v/>
      </c>
      <c r="Q148" s="24">
        <f>P148+Q147</f>
        <v/>
      </c>
      <c r="R148" s="24">
        <f>Q148+R147</f>
        <v/>
      </c>
      <c r="S148" s="24">
        <f>R148+S147</f>
        <v/>
      </c>
      <c r="T148" s="24">
        <f>S148+T147</f>
        <v/>
      </c>
      <c r="U148" s="24">
        <f>T148+U147</f>
        <v/>
      </c>
      <c r="V148" s="24">
        <f>U148+V147</f>
        <v/>
      </c>
      <c r="W148" s="24">
        <f>V148+W147</f>
        <v/>
      </c>
      <c r="X148" s="24">
        <f>W148+X147</f>
        <v/>
      </c>
      <c r="Y148" s="24">
        <f>X148+Y147</f>
        <v/>
      </c>
      <c r="Z148" s="24">
        <f>Y148+Z147</f>
        <v/>
      </c>
      <c r="AA148" s="24">
        <f>Z148+AA147</f>
        <v/>
      </c>
      <c r="AB148" s="24">
        <f>AA148+AB147</f>
        <v/>
      </c>
      <c r="AC148" s="24">
        <f>AB148+AC147</f>
        <v/>
      </c>
      <c r="AD148" s="25">
        <f>MAX(E148:AC148)</f>
        <v/>
      </c>
    </row>
    <row r="149">
      <c r="B149" s="23" t="inlineStr">
        <is>
          <t>% AVANCE PROGRAMADO SEMANAL (LÍNEA BASE)</t>
        </is>
      </c>
      <c r="E149" s="24" t="n">
        <v>0.002382311565774134</v>
      </c>
      <c r="F149" s="24" t="n">
        <v>0.004640837567155562</v>
      </c>
      <c r="G149" s="24" t="n">
        <v>0.01295631415649645</v>
      </c>
      <c r="H149" s="24" t="n">
        <v>0.01764782905974209</v>
      </c>
      <c r="I149" s="24" t="n">
        <v>0.01648804562067233</v>
      </c>
      <c r="J149" s="24" t="n">
        <v>0.02519193987508428</v>
      </c>
      <c r="K149" s="24" t="n">
        <v>0.07541910010781293</v>
      </c>
      <c r="L149" s="24" t="n">
        <v>0.03434983605859502</v>
      </c>
      <c r="M149" s="24" t="n">
        <v>0.02003410981529835</v>
      </c>
      <c r="N149" s="24" t="n">
        <v>0.0149819674563707</v>
      </c>
      <c r="O149" s="24" t="n">
        <v>0.02857673381784588</v>
      </c>
      <c r="P149" s="24" t="n">
        <v>0.07768505455318526</v>
      </c>
      <c r="Q149" s="24" t="n">
        <v>0.04809914053492616</v>
      </c>
      <c r="R149" s="24" t="n">
        <v>0.0693229330050578</v>
      </c>
      <c r="S149" s="24" t="n">
        <v>0.06494241547363515</v>
      </c>
      <c r="T149" s="24" t="n">
        <v>0.06258403049965429</v>
      </c>
      <c r="U149" s="24" t="n">
        <v>0.06052050055978449</v>
      </c>
      <c r="V149" s="24" t="n">
        <v>0.06881950213589981</v>
      </c>
      <c r="W149" s="24" t="n">
        <v>0.05383426486115903</v>
      </c>
      <c r="X149" s="24" t="n">
        <v>0.05179025604940525</v>
      </c>
      <c r="Y149" s="24" t="n">
        <v>0.1489288743837325</v>
      </c>
      <c r="Z149" s="24" t="n">
        <v>0.03471030373464231</v>
      </c>
      <c r="AA149" s="24" t="n">
        <v>0.002831200276453342</v>
      </c>
      <c r="AB149" s="24" t="n">
        <v>0.002330356308297872</v>
      </c>
      <c r="AC149" s="24" t="n">
        <v>0.0009321425233191497</v>
      </c>
    </row>
    <row r="150">
      <c r="B150" s="23" t="inlineStr">
        <is>
          <t>% AVANCE PROGRAMADO ACUMULADO (LÍNEA BASE)</t>
        </is>
      </c>
      <c r="E150" s="24" t="n">
        <v>0.002382311565774134</v>
      </c>
      <c r="F150" s="24" t="n">
        <v>0.007023149132929696</v>
      </c>
      <c r="G150" s="24" t="n">
        <v>0.01997946328942615</v>
      </c>
      <c r="H150" s="24" t="n">
        <v>0.03762729234916823</v>
      </c>
      <c r="I150" s="24" t="n">
        <v>0.05411533796984056</v>
      </c>
      <c r="J150" s="24" t="n">
        <v>0.07930727784492485</v>
      </c>
      <c r="K150" s="24" t="n">
        <v>0.1547263779527378</v>
      </c>
      <c r="L150" s="24" t="n">
        <v>0.1890762140113328</v>
      </c>
      <c r="M150" s="24" t="n">
        <v>0.2091103238266311</v>
      </c>
      <c r="N150" s="24" t="n">
        <v>0.2240922912830018</v>
      </c>
      <c r="O150" s="24" t="n">
        <v>0.2526690251008477</v>
      </c>
      <c r="P150" s="24" t="n">
        <v>0.330354079654033</v>
      </c>
      <c r="Q150" s="24" t="n">
        <v>0.3784532201889591</v>
      </c>
      <c r="R150" s="24" t="n">
        <v>0.4477761531940169</v>
      </c>
      <c r="S150" s="24" t="n">
        <v>0.5127185686676521</v>
      </c>
      <c r="T150" s="24" t="n">
        <v>0.5753025991673064</v>
      </c>
      <c r="U150" s="24" t="n">
        <v>0.6358230997270909</v>
      </c>
      <c r="V150" s="24" t="n">
        <v>0.7046426018629908</v>
      </c>
      <c r="W150" s="24" t="n">
        <v>0.7584768667241498</v>
      </c>
      <c r="X150" s="24" t="n">
        <v>0.8102671227735551</v>
      </c>
      <c r="Y150" s="24" t="n">
        <v>0.9591959971572875</v>
      </c>
      <c r="Z150" s="24" t="n">
        <v>0.9939063008919299</v>
      </c>
      <c r="AA150" s="24" t="n">
        <v>0.9967375011683832</v>
      </c>
      <c r="AB150" s="24" t="n">
        <v>0.9990678574766811</v>
      </c>
      <c r="AC150" s="24" t="n">
        <v>1</v>
      </c>
    </row>
  </sheetData>
  <mergeCells count="4">
    <mergeCell ref="E3:N3"/>
    <mergeCell ref="O4:P4"/>
    <mergeCell ref="O3:P3"/>
    <mergeCell ref="E4:N4"/>
  </mergeCells>
  <conditionalFormatting sqref="E7:AC145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5">
    <cfRule type="expression" priority="3" dxfId="2">
      <formula>AD7&gt;1.0001</formula>
    </cfRule>
  </conditionalFormatting>
  <dataValidations count="1">
    <dataValidation sqref="E7:AC145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2026-10-22T17:55:17Z</dcterms:created>
  <dcterms:modified xmlns:dcterms="http://purl.org/dc/terms/" xmlns:xsi="http://www.w3.org/2001/XMLSchema-instance" xsi:type="dcterms:W3CDTF">2026-10-22T17:55:17Z</dcterms:modified>
</cp:coreProperties>
</file>