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EJECUTADO" sheetId="1" state="visible" r:id="rId1"/>
  </sheets>
  <definedNames>
    <definedName name="_xlnm.Print_Titles" localSheetId="0">'CRONOGRAMA EJECUTADO'!$5:$6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:mm:ss"/>
    <numFmt numFmtId="166" formatCode="dd/mm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32D46"/>
      <sz val="10"/>
    </font>
    <font>
      <name val="Arial"/>
      <b val="1"/>
      <color rgb="00132D46"/>
      <sz val="14"/>
    </font>
    <font>
      <name val="Arial"/>
      <b val="1"/>
      <color rgb="00132D46"/>
      <sz val="9"/>
    </font>
    <font>
      <name val="Arial"/>
      <b val="1"/>
      <color rgb="00132D46"/>
      <sz val="11"/>
    </font>
    <font>
      <name val="Arial"/>
      <color rgb="00132D46"/>
      <sz val="9"/>
    </font>
    <font>
      <name val="Arial"/>
      <color rgb="0052667A"/>
      <sz val="8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32D46"/>
      </patternFill>
    </fill>
    <fill>
      <patternFill patternType="solid">
        <fgColor rgb="00E3E9EF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D5DDE2"/>
      </left>
      <right style="thin">
        <color rgb="00D5DDE2"/>
      </right>
      <top style="thin">
        <color rgb="00D5DDE2"/>
      </top>
      <bottom style="thin">
        <color rgb="00D5DD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164" fontId="5" fillId="2" borderId="0" applyAlignment="1" pivotButton="0" quotePrefix="0" xfId="0">
      <alignment horizontal="left"/>
    </xf>
    <xf numFmtId="9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1F4E85"/>
      </font>
      <fill>
        <patternFill patternType="solid">
          <fgColor rgb="00D3E1F1"/>
          <bgColor rgb="00D3E1F1"/>
        </patternFill>
      </fill>
    </dxf>
    <dxf>
      <font>
        <b val="1"/>
        <color rgb="00FFFFFF"/>
      </font>
      <fill>
        <patternFill patternType="solid">
          <fgColor rgb="0000A577"/>
          <bgColor rgb="0000A577"/>
        </patternFill>
      </fill>
    </dxf>
    <dxf>
      <font>
        <b val="1"/>
        <color rgb="009B1C1C"/>
      </font>
      <fill>
        <patternFill patternType="solid">
          <fgColor rgb="00F8D7D3"/>
          <b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50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2" customWidth="1" min="2" max="2"/>
    <col width="9" customWidth="1" min="3" max="3"/>
    <col width="7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8" customWidth="1" min="30" max="30"/>
  </cols>
  <sheetData>
    <row r="1" ht="24" customHeight="1">
      <c r="A1" s="1" t="inlineStr">
        <is>
          <t>NMH ENGINEERING S.A.S.</t>
        </is>
      </c>
      <c r="B1" s="2" t="inlineStr">
        <is>
          <t>CRONOGRAMA DE OBRA — EJECUTADO</t>
        </is>
      </c>
    </row>
    <row r="2">
      <c r="A2" s="3" t="inlineStr">
        <is>
          <t>PROYECTO</t>
        </is>
      </c>
      <c r="B2" s="4" t="inlineStr">
        <is>
          <t>MUNICIPIO DE BARANOA — ATLÁNTICO</t>
        </is>
      </c>
    </row>
    <row r="3">
      <c r="A3" s="3" t="inlineStr">
        <is>
          <t>FECHA DE CORTE</t>
        </is>
      </c>
      <c r="B3" s="5" t="n"/>
      <c r="E3" s="3" t="inlineStr">
        <is>
          <t>META DE AVANCE (% DEL ALCANCE TOTAL)</t>
        </is>
      </c>
      <c r="O3" s="6" t="n">
        <v>0.45</v>
      </c>
    </row>
    <row r="4" ht="34" customHeight="1">
      <c r="A4" s="3" t="inlineStr">
        <is>
          <t>CÓMO SE LLENA</t>
        </is>
      </c>
      <c r="B4" s="7" t="inlineStr">
        <is>
          <t>Número = avance ejecutado del ítem en esa semana (25 = 25%). P = semana programada. Fecha de corte vacía = última semana con avance. Guarde el archivo con el mismo nombre y súbalo a GitHub: la página se actualiza sola.</t>
        </is>
      </c>
      <c r="E4" s="3" t="inlineStr">
        <is>
          <t>FECHA DE LA META</t>
        </is>
      </c>
      <c r="O4" s="8" t="n">
        <v>46333</v>
      </c>
    </row>
    <row r="5">
      <c r="B5" s="9" t="inlineStr">
        <is>
          <t>SEMANA DEL</t>
        </is>
      </c>
      <c r="E5" s="10" t="n">
        <v>46216</v>
      </c>
      <c r="F5" s="10" t="n">
        <v>46223</v>
      </c>
      <c r="G5" s="10" t="n">
        <v>46230</v>
      </c>
      <c r="H5" s="10" t="n">
        <v>46237</v>
      </c>
      <c r="I5" s="10" t="n">
        <v>46244</v>
      </c>
      <c r="J5" s="10" t="n">
        <v>46251</v>
      </c>
      <c r="K5" s="10" t="n">
        <v>46258</v>
      </c>
      <c r="L5" s="10" t="n">
        <v>46265</v>
      </c>
      <c r="M5" s="10" t="n">
        <v>46272</v>
      </c>
      <c r="N5" s="10" t="n">
        <v>46279</v>
      </c>
      <c r="O5" s="10" t="n">
        <v>46286</v>
      </c>
      <c r="P5" s="10" t="n">
        <v>46293</v>
      </c>
      <c r="Q5" s="10" t="n">
        <v>46300</v>
      </c>
      <c r="R5" s="10" t="n">
        <v>46307</v>
      </c>
      <c r="S5" s="10" t="n">
        <v>46314</v>
      </c>
      <c r="T5" s="10" t="n">
        <v>46321</v>
      </c>
      <c r="U5" s="10" t="n">
        <v>46328</v>
      </c>
      <c r="V5" s="10" t="n">
        <v>46335</v>
      </c>
      <c r="W5" s="10" t="n">
        <v>46342</v>
      </c>
      <c r="X5" s="10" t="n">
        <v>46349</v>
      </c>
      <c r="Y5" s="10" t="n">
        <v>46356</v>
      </c>
      <c r="Z5" s="10" t="n">
        <v>46363</v>
      </c>
      <c r="AA5" s="10" t="n">
        <v>46370</v>
      </c>
      <c r="AB5" s="10" t="n">
        <v>46377</v>
      </c>
      <c r="AC5" s="10" t="n">
        <v>46384</v>
      </c>
    </row>
    <row r="6" ht="26" customHeight="1">
      <c r="A6" s="11" t="inlineStr">
        <is>
          <t>ÍTEM</t>
        </is>
      </c>
      <c r="B6" s="11" t="inlineStr">
        <is>
          <t>ACTIVIDAD</t>
        </is>
      </c>
      <c r="C6" s="11" t="inlineStr">
        <is>
          <t>% INC.</t>
        </is>
      </c>
      <c r="D6" s="11" t="inlineStr">
        <is>
          <t>DUR (días)</t>
        </is>
      </c>
      <c r="E6" s="11" t="inlineStr">
        <is>
          <t>S1</t>
        </is>
      </c>
      <c r="F6" s="11" t="inlineStr">
        <is>
          <t>S2</t>
        </is>
      </c>
      <c r="G6" s="11" t="inlineStr">
        <is>
          <t>S3</t>
        </is>
      </c>
      <c r="H6" s="11" t="inlineStr">
        <is>
          <t>S4</t>
        </is>
      </c>
      <c r="I6" s="11" t="inlineStr">
        <is>
          <t>S5</t>
        </is>
      </c>
      <c r="J6" s="11" t="inlineStr">
        <is>
          <t>S6</t>
        </is>
      </c>
      <c r="K6" s="11" t="inlineStr">
        <is>
          <t>S7</t>
        </is>
      </c>
      <c r="L6" s="11" t="inlineStr">
        <is>
          <t>S8</t>
        </is>
      </c>
      <c r="M6" s="11" t="inlineStr">
        <is>
          <t>S9</t>
        </is>
      </c>
      <c r="N6" s="11" t="inlineStr">
        <is>
          <t>S10</t>
        </is>
      </c>
      <c r="O6" s="11" t="inlineStr">
        <is>
          <t>S11</t>
        </is>
      </c>
      <c r="P6" s="11" t="inlineStr">
        <is>
          <t>S12</t>
        </is>
      </c>
      <c r="Q6" s="11" t="inlineStr">
        <is>
          <t>S13</t>
        </is>
      </c>
      <c r="R6" s="11" t="inlineStr">
        <is>
          <t>S14</t>
        </is>
      </c>
      <c r="S6" s="11" t="inlineStr">
        <is>
          <t>S15</t>
        </is>
      </c>
      <c r="T6" s="11" t="inlineStr">
        <is>
          <t>S16</t>
        </is>
      </c>
      <c r="U6" s="11" t="inlineStr">
        <is>
          <t>S17</t>
        </is>
      </c>
      <c r="V6" s="11" t="inlineStr">
        <is>
          <t>S18</t>
        </is>
      </c>
      <c r="W6" s="11" t="inlineStr">
        <is>
          <t>S19</t>
        </is>
      </c>
      <c r="X6" s="11" t="inlineStr">
        <is>
          <t>S20</t>
        </is>
      </c>
      <c r="Y6" s="11" t="inlineStr">
        <is>
          <t>S21</t>
        </is>
      </c>
      <c r="Z6" s="11" t="inlineStr">
        <is>
          <t>S22</t>
        </is>
      </c>
      <c r="AA6" s="11" t="inlineStr">
        <is>
          <t>S23</t>
        </is>
      </c>
      <c r="AB6" s="11" t="inlineStr">
        <is>
          <t>S24</t>
        </is>
      </c>
      <c r="AC6" s="11" t="inlineStr">
        <is>
          <t>S25</t>
        </is>
      </c>
      <c r="AD6" s="11" t="inlineStr">
        <is>
          <t>Σ EJEC.</t>
        </is>
      </c>
    </row>
    <row r="7">
      <c r="A7" s="12" t="inlineStr">
        <is>
          <t>1</t>
        </is>
      </c>
      <c r="B7" s="13" t="inlineStr">
        <is>
          <t>OBRAS PRELIMINARES</t>
        </is>
      </c>
      <c r="C7" s="14">
        <f>SUM(C8:C8)</f>
        <v/>
      </c>
      <c r="D7" s="15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17" t="inlineStr">
        <is>
          <t>1.1</t>
        </is>
      </c>
      <c r="B8" s="18" t="inlineStr">
        <is>
          <t>TRAZADO, LOCALIZACIÓN Y REPLANTEO GENERAL DEL PROYECTO.</t>
        </is>
      </c>
      <c r="C8" s="19" t="n">
        <v>0.004764623131548269</v>
      </c>
      <c r="D8" s="20" t="n">
        <v>10</v>
      </c>
      <c r="E8" s="21" t="inlineStr">
        <is>
          <t>P</t>
        </is>
      </c>
      <c r="F8" s="21" t="inlineStr">
        <is>
          <t>P</t>
        </is>
      </c>
      <c r="G8" s="21" t="n"/>
      <c r="H8" s="21" t="n">
        <v>1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2">
        <f>SUM(E8:AC8)</f>
        <v/>
      </c>
    </row>
    <row r="9">
      <c r="A9" s="12" t="inlineStr">
        <is>
          <t>2</t>
        </is>
      </c>
      <c r="B9" s="13" t="inlineStr">
        <is>
          <t>CORTES Y RELLENOS</t>
        </is>
      </c>
      <c r="C9" s="14">
        <f>SUM(C10:C14)</f>
        <v/>
      </c>
      <c r="D9" s="15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17" t="inlineStr">
        <is>
          <t>2.1</t>
        </is>
      </c>
      <c r="B10" s="18" t="inlineStr">
        <is>
          <t>EXCAVACIÓN MANUAL EN MATERIAL COMÚN SIN CLASIFICACIÓN.</t>
        </is>
      </c>
      <c r="C10" s="19" t="n">
        <v>0.005463822616679619</v>
      </c>
      <c r="D10" s="20" t="n">
        <v>19</v>
      </c>
      <c r="E10" s="21" t="n"/>
      <c r="F10" s="21" t="inlineStr">
        <is>
          <t>P</t>
        </is>
      </c>
      <c r="G10" s="21" t="inlineStr">
        <is>
          <t>P</t>
        </is>
      </c>
      <c r="H10" s="21" t="inlineStr">
        <is>
          <t>P</t>
        </is>
      </c>
      <c r="I10" s="21" t="inlineStr">
        <is>
          <t>P</t>
        </is>
      </c>
      <c r="J10" s="21" t="n">
        <v>0.6</v>
      </c>
      <c r="K10" s="21" t="n">
        <v>0.15</v>
      </c>
      <c r="L10" s="21" t="n">
        <v>0.25</v>
      </c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2">
        <f>SUM(E10:AC10)</f>
        <v/>
      </c>
    </row>
    <row r="11">
      <c r="A11" s="17" t="inlineStr">
        <is>
          <t>2.2</t>
        </is>
      </c>
      <c r="B11" s="18" t="inlineStr">
        <is>
          <t>CONSTRUCCIÓN DE SUBBASE GRANULAR PARA MEJORAMIENTO DE ESTRUCTURA DE PAVIMENTO ASFÁLTICO EN FRÍO DE PISTA DE TROTE.</t>
        </is>
      </c>
      <c r="C11" s="19" t="n">
        <v>0.003569051110752719</v>
      </c>
      <c r="D11" s="20" t="n">
        <v>6</v>
      </c>
      <c r="E11" s="21" t="n"/>
      <c r="F11" s="21" t="inlineStr">
        <is>
          <t>P</t>
        </is>
      </c>
      <c r="G11" s="21" t="inlineStr">
        <is>
          <t>P</t>
        </is>
      </c>
      <c r="H11" s="21" t="n">
        <v>0.5</v>
      </c>
      <c r="I11" s="21" t="n">
        <v>0.5</v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2">
        <f>SUM(E11:AC11)</f>
        <v/>
      </c>
    </row>
    <row r="12">
      <c r="A12" s="17" t="inlineStr">
        <is>
          <t>2.3</t>
        </is>
      </c>
      <c r="B12" s="18" t="inlineStr">
        <is>
          <t>RELLENO COMPACTADO CON MATERIAL SELECCIONADO PROVENIENTE DE EXCAVACIONES DE CIMENTACIÓN.</t>
        </is>
      </c>
      <c r="C12" s="19" t="n">
        <v>0.003769296176976699</v>
      </c>
      <c r="D12" s="20" t="n">
        <v>13</v>
      </c>
      <c r="E12" s="21" t="n"/>
      <c r="F12" s="21" t="inlineStr">
        <is>
          <t>P</t>
        </is>
      </c>
      <c r="G12" s="21" t="inlineStr">
        <is>
          <t>P</t>
        </is>
      </c>
      <c r="H12" s="21" t="inlineStr">
        <is>
          <t>P</t>
        </is>
      </c>
      <c r="I12" s="21" t="inlineStr">
        <is>
          <t>P</t>
        </is>
      </c>
      <c r="J12" s="21" t="n"/>
      <c r="K12" s="21" t="n"/>
      <c r="L12" s="21" t="n"/>
      <c r="M12" s="21" t="n"/>
      <c r="N12" s="21" t="n">
        <v>0.5</v>
      </c>
      <c r="O12" s="21" t="n"/>
      <c r="P12" s="21" t="n"/>
      <c r="Q12" s="21" t="n">
        <v>0.25</v>
      </c>
      <c r="R12" s="21" t="n">
        <v>0.25</v>
      </c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2">
        <f>SUM(E12:AC12)</f>
        <v/>
      </c>
    </row>
    <row r="13">
      <c r="A13" s="17" t="inlineStr">
        <is>
          <t>2.4</t>
        </is>
      </c>
      <c r="B13" s="18" t="inlineStr">
        <is>
          <t>SUMINISTRO E INSTALACION BASE GRANULAR PARA SOPORTE DE PAVIMENTO ASFÁLTICO EN FRÍO DE PISTA DE TROTE.</t>
        </is>
      </c>
      <c r="C13" s="19" t="n">
        <v>0.004018205956284417</v>
      </c>
      <c r="D13" s="20" t="n">
        <v>7</v>
      </c>
      <c r="E13" s="21" t="n"/>
      <c r="F13" s="21" t="inlineStr">
        <is>
          <t>P</t>
        </is>
      </c>
      <c r="G13" s="21" t="inlineStr">
        <is>
          <t>P</t>
        </is>
      </c>
      <c r="H13" s="21" t="n"/>
      <c r="I13" s="21" t="n"/>
      <c r="J13" s="21" t="n"/>
      <c r="K13" s="21" t="n"/>
      <c r="L13" s="21" t="n"/>
      <c r="M13" s="21" t="n">
        <v>1</v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2">
        <f>SUM(E13:AC13)</f>
        <v/>
      </c>
    </row>
    <row r="14">
      <c r="A14" s="17" t="inlineStr">
        <is>
          <t>2.5</t>
        </is>
      </c>
      <c r="B14" s="18" t="inlineStr">
        <is>
          <t>RELLENO COMPACTADO CON MATERIAL SELECCIONADO PARA AREA DE ESPARCIMEINTO</t>
        </is>
      </c>
      <c r="C14" s="19" t="n">
        <v>0.01587631693883135</v>
      </c>
      <c r="D14" s="20" t="n">
        <v>31</v>
      </c>
      <c r="E14" s="21" t="n"/>
      <c r="F14" s="21" t="inlineStr">
        <is>
          <t>P</t>
        </is>
      </c>
      <c r="G14" s="21" t="inlineStr">
        <is>
          <t>P</t>
        </is>
      </c>
      <c r="H14" s="21" t="n">
        <v>0.5</v>
      </c>
      <c r="I14" s="21" t="n">
        <v>0.5</v>
      </c>
      <c r="J14" s="21" t="inlineStr">
        <is>
          <t>P</t>
        </is>
      </c>
      <c r="K14" s="21" t="inlineStr">
        <is>
          <t>P</t>
        </is>
      </c>
      <c r="L14" s="21" t="inlineStr">
        <is>
          <t>P</t>
        </is>
      </c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2">
        <f>SUM(E14:AC14)</f>
        <v/>
      </c>
    </row>
    <row r="15">
      <c r="A15" s="12" t="inlineStr">
        <is>
          <t>3</t>
        </is>
      </c>
      <c r="B15" s="13" t="inlineStr">
        <is>
          <t>OBRAS ESTRUCTURALES</t>
        </is>
      </c>
      <c r="C15" s="14">
        <f>SUM(C16:C32)</f>
        <v/>
      </c>
      <c r="D15" s="15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17" t="inlineStr">
        <is>
          <t>3.1</t>
        </is>
      </c>
      <c r="B16" s="18" t="inlineStr">
        <is>
          <t>SUMINISTRO E INSTALACIÓN DE CONCRETO DE 2.000 PSI ELABORADO EN OBRA PARA CAPAS DE LIMPIEZA (SOLADOS).</t>
        </is>
      </c>
      <c r="C16" s="19" t="n">
        <v>0.004706601541899991</v>
      </c>
      <c r="D16" s="20" t="n">
        <v>11</v>
      </c>
      <c r="E16" s="21" t="n"/>
      <c r="F16" s="21" t="n"/>
      <c r="G16" s="21" t="n"/>
      <c r="H16" s="21" t="n"/>
      <c r="I16" s="21" t="n"/>
      <c r="J16" s="21" t="inlineStr">
        <is>
          <t>P</t>
        </is>
      </c>
      <c r="K16" s="21" t="n">
        <v>0.75</v>
      </c>
      <c r="L16" s="21" t="n">
        <v>0.25</v>
      </c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2">
        <f>SUM(E16:AC16)</f>
        <v/>
      </c>
    </row>
    <row r="17">
      <c r="A17" s="17" t="inlineStr">
        <is>
          <t>3.2</t>
        </is>
      </c>
      <c r="B17" s="18" t="inlineStr">
        <is>
          <t>SUMINISTRO E INSTALACIÓN DE ZAPATAS AISLADAS EN CONCRETO DE 3.000 PSI FABRICADO EN OBRA.</t>
        </is>
      </c>
      <c r="C17" s="19" t="n">
        <v>0.02438184102130481</v>
      </c>
      <c r="D17" s="20" t="n">
        <v>11</v>
      </c>
      <c r="E17" s="21" t="n"/>
      <c r="F17" s="21" t="n"/>
      <c r="G17" s="21" t="n"/>
      <c r="H17" s="21" t="n"/>
      <c r="I17" s="21" t="n"/>
      <c r="J17" s="21" t="n"/>
      <c r="K17" s="21" t="n"/>
      <c r="L17" s="21" t="n">
        <v>0.59</v>
      </c>
      <c r="M17" s="21" t="n">
        <v>0.41</v>
      </c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2">
        <f>SUM(E17:AC17)</f>
        <v/>
      </c>
    </row>
    <row r="18">
      <c r="A18" s="17" t="inlineStr">
        <is>
          <t>3.3</t>
        </is>
      </c>
      <c r="B18" s="18" t="inlineStr">
        <is>
          <t>SUMINISTRO E INSTALACIÓN DE VIGAS DE AMARRE DE CIMENTACIÓN EN CONCRETO DE 3.000 PSI.</t>
        </is>
      </c>
      <c r="C18" s="19" t="n">
        <v>0.01595133792294987</v>
      </c>
      <c r="D18" s="20" t="n">
        <v>11</v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>
        <v>0.55</v>
      </c>
      <c r="O18" s="21" t="n">
        <v>0.45</v>
      </c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2">
        <f>SUM(E18:AC18)</f>
        <v/>
      </c>
    </row>
    <row r="19">
      <c r="A19" s="17" t="inlineStr">
        <is>
          <t>3.4</t>
        </is>
      </c>
      <c r="B19" s="18" t="inlineStr">
        <is>
          <t>SUMINISTRO E INSTALACIÓN DE COLUMNAS EN CONCRETO DE 3.000 PSI ELABORADO EN SITIO.</t>
        </is>
      </c>
      <c r="C19" s="19" t="n">
        <v>0.0181764191719516</v>
      </c>
      <c r="D19" s="20" t="n">
        <v>12</v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inlineStr">
        <is>
          <t>P</t>
        </is>
      </c>
      <c r="P19" s="21" t="n">
        <v>0.29</v>
      </c>
      <c r="Q19" s="21" t="n">
        <v>0.11</v>
      </c>
      <c r="R19" s="21" t="n">
        <v>0.28</v>
      </c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2">
        <f>SUM(E19:AC19)</f>
        <v/>
      </c>
    </row>
    <row r="20">
      <c r="A20" s="17" t="inlineStr">
        <is>
          <t>3.5</t>
        </is>
      </c>
      <c r="B20" s="18" t="inlineStr">
        <is>
          <t>SUMINISTRO E INSTALACIÓN DE VIGAS AÉREAS EN CONCRETO DE 3.000 PSI FABRICADO EN OBRA.</t>
        </is>
      </c>
      <c r="C20" s="19" t="n">
        <v>0.02491848766416463</v>
      </c>
      <c r="D20" s="20" t="n">
        <v>13</v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inlineStr">
        <is>
          <t>P</t>
        </is>
      </c>
      <c r="S20" s="21" t="n">
        <v>0.35</v>
      </c>
      <c r="T20" s="21" t="inlineStr">
        <is>
          <t>P</t>
        </is>
      </c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2">
        <f>SUM(E20:AC20)</f>
        <v/>
      </c>
    </row>
    <row r="21">
      <c r="A21" s="17" t="inlineStr">
        <is>
          <t>3.6</t>
        </is>
      </c>
      <c r="B21" s="18" t="inlineStr">
        <is>
          <t>CORTE, DOBLADO Y COLOCACIÓN DE ACERO CORRUGADO PDR-60 FY=420 MPA PARA ZAPATAS.</t>
        </is>
      </c>
      <c r="C21" s="19" t="n">
        <v>0.007954096397471636</v>
      </c>
      <c r="D21" s="20" t="n">
        <v>11</v>
      </c>
      <c r="E21" s="21" t="n"/>
      <c r="F21" s="21" t="n"/>
      <c r="G21" s="21" t="n"/>
      <c r="H21" s="21" t="n"/>
      <c r="I21" s="21" t="n"/>
      <c r="J21" s="21" t="n"/>
      <c r="K21" s="21" t="n">
        <v>1</v>
      </c>
      <c r="L21" s="21" t="inlineStr">
        <is>
          <t>P</t>
        </is>
      </c>
      <c r="M21" s="21" t="inlineStr">
        <is>
          <t>P</t>
        </is>
      </c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2">
        <f>SUM(E21:AC21)</f>
        <v/>
      </c>
    </row>
    <row r="22">
      <c r="A22" s="17" t="inlineStr">
        <is>
          <t>3.7</t>
        </is>
      </c>
      <c r="B22" s="18" t="inlineStr">
        <is>
          <t>CORTE, DOBLADO Y COLOCACIÓN DE ACERO CORRUGADO PDR-60 FY=420 MPA PARA VIGAS DE CIMENTACIÓN.</t>
        </is>
      </c>
      <c r="C22" s="19" t="n">
        <v>0.01570309420054058</v>
      </c>
      <c r="D22" s="20" t="n">
        <v>15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>
        <v>0.4</v>
      </c>
      <c r="N22" s="21" t="n">
        <v>0.6</v>
      </c>
      <c r="O22" s="21" t="inlineStr">
        <is>
          <t>P</t>
        </is>
      </c>
      <c r="P22" s="21" t="inlineStr">
        <is>
          <t>P</t>
        </is>
      </c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2">
        <f>SUM(E22:AC22)</f>
        <v/>
      </c>
    </row>
    <row r="23">
      <c r="A23" s="17" t="inlineStr">
        <is>
          <t>3.8</t>
        </is>
      </c>
      <c r="B23" s="18" t="inlineStr">
        <is>
          <t>CORTE, DOBLADO Y COLOCACIÓN DE ACERO CORRUGADO PDR-60 FY=420 MPA PARA COLUMNAS.</t>
        </is>
      </c>
      <c r="C23" s="19" t="n">
        <v>0.01564902275292532</v>
      </c>
      <c r="D23" s="20" t="n">
        <v>15</v>
      </c>
      <c r="E23" s="21" t="n"/>
      <c r="F23" s="21" t="n"/>
      <c r="G23" s="21" t="n"/>
      <c r="H23" s="21" t="n"/>
      <c r="I23" s="21" t="n"/>
      <c r="J23" s="21" t="n"/>
      <c r="K23" s="21" t="n">
        <v>0.58</v>
      </c>
      <c r="L23" s="21" t="n">
        <v>0.42</v>
      </c>
      <c r="M23" s="21" t="n"/>
      <c r="N23" s="21" t="n"/>
      <c r="O23" s="21" t="inlineStr">
        <is>
          <t>P</t>
        </is>
      </c>
      <c r="P23" s="21" t="inlineStr">
        <is>
          <t>P</t>
        </is>
      </c>
      <c r="Q23" s="21" t="inlineStr">
        <is>
          <t>P</t>
        </is>
      </c>
      <c r="R23" s="21" t="inlineStr">
        <is>
          <t>P</t>
        </is>
      </c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2">
        <f>SUM(E23:AC23)</f>
        <v/>
      </c>
    </row>
    <row r="24">
      <c r="A24" s="17" t="inlineStr">
        <is>
          <t>3.9</t>
        </is>
      </c>
      <c r="B24" s="18" t="inlineStr">
        <is>
          <t>CORTE, DOBLADO Y COLOCACIÓN DE ACERO CORRUGADO PDR-60 FY=420 MPA PARA VIGAS AÉREAS.</t>
        </is>
      </c>
      <c r="C24" s="19" t="n">
        <v>0.01195351898832411</v>
      </c>
      <c r="D24" s="20" t="n">
        <v>11</v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>
        <v>0.73</v>
      </c>
      <c r="Q24" s="21" t="n">
        <v>0.27</v>
      </c>
      <c r="R24" s="21" t="inlineStr">
        <is>
          <t>P</t>
        </is>
      </c>
      <c r="S24" s="21" t="inlineStr">
        <is>
          <t>P</t>
        </is>
      </c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2">
        <f>SUM(E24:AC24)</f>
        <v/>
      </c>
    </row>
    <row r="25">
      <c r="A25" s="17" t="inlineStr">
        <is>
          <t>3.10</t>
        </is>
      </c>
      <c r="B25" s="18" t="inlineStr">
        <is>
          <t>SUMINISTRO E INSTALACIÓN DE PLACA DE TANQUE EN CONCRETO DE 7,5 CM DE ESPESOR REFORZADA CON MALLA ELECTROSOLDADA XX-295.</t>
        </is>
      </c>
      <c r="C25" s="19" t="n">
        <v>0.0001238018892577521</v>
      </c>
      <c r="D25" s="20" t="n">
        <v>1</v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inlineStr">
        <is>
          <t>P</t>
        </is>
      </c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2">
        <f>SUM(E25:AC25)</f>
        <v/>
      </c>
    </row>
    <row r="26">
      <c r="A26" s="17" t="inlineStr">
        <is>
          <t>3.11</t>
        </is>
      </c>
      <c r="B26" s="18" t="inlineStr">
        <is>
          <t>SUMINISTRO E INSTALACIÓN DE CONTRAPISO EN CONCRETO DE 4.000 PSI DE 15 CM DE ESPESOR CON MALLA ELECTROSOLDADA XX-295.</t>
        </is>
      </c>
      <c r="C26" s="19" t="n">
        <v>0.0468879429564814</v>
      </c>
      <c r="D26" s="20" t="n">
        <v>12</v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inlineStr">
        <is>
          <t>P</t>
        </is>
      </c>
      <c r="S26" s="21" t="inlineStr">
        <is>
          <t>P</t>
        </is>
      </c>
      <c r="T26" s="21" t="inlineStr">
        <is>
          <t>P</t>
        </is>
      </c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2">
        <f>SUM(E26:AC26)</f>
        <v/>
      </c>
    </row>
    <row r="27">
      <c r="A27" s="17" t="inlineStr">
        <is>
          <t>3.12</t>
        </is>
      </c>
      <c r="B27" s="18" t="inlineStr">
        <is>
          <t>SUMINISTRO E INSTALACIÓN DE VIGA DE CONFINAMIENTO PARA ADOQUÍN CON REFUERZO INCLUIDO.</t>
        </is>
      </c>
      <c r="C27" s="19" t="n">
        <v>0.009691385272795524</v>
      </c>
      <c r="D27" s="20" t="n">
        <v>9</v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inlineStr">
        <is>
          <t>P</t>
        </is>
      </c>
      <c r="U27" s="21" t="inlineStr">
        <is>
          <t>P</t>
        </is>
      </c>
      <c r="V27" s="21" t="inlineStr">
        <is>
          <t>P</t>
        </is>
      </c>
      <c r="W27" s="21" t="n"/>
      <c r="X27" s="21" t="n"/>
      <c r="Y27" s="21" t="n"/>
      <c r="Z27" s="21" t="n"/>
      <c r="AA27" s="21" t="n"/>
      <c r="AB27" s="21" t="n"/>
      <c r="AC27" s="21" t="n"/>
      <c r="AD27" s="22">
        <f>SUM(E27:AC27)</f>
        <v/>
      </c>
    </row>
    <row r="28">
      <c r="A28" s="17" t="inlineStr">
        <is>
          <t>3.13</t>
        </is>
      </c>
      <c r="B28" s="18" t="inlineStr">
        <is>
          <t>SUMINISTRO E INSTALACIÓN DE VIGA DE CONFINAMIENTO PARA PAVIMENTO ASFÁLTICO CON REFUERZO INCLUIDO.</t>
        </is>
      </c>
      <c r="C28" s="19" t="n">
        <v>0.02927893301622543</v>
      </c>
      <c r="D28" s="20" t="n">
        <v>12</v>
      </c>
      <c r="E28" s="21" t="n"/>
      <c r="F28" s="21" t="n"/>
      <c r="G28" s="21" t="n"/>
      <c r="H28" s="21" t="inlineStr">
        <is>
          <t>P</t>
        </is>
      </c>
      <c r="I28" s="21" t="inlineStr">
        <is>
          <t>P</t>
        </is>
      </c>
      <c r="J28" s="21" t="inlineStr">
        <is>
          <t>P</t>
        </is>
      </c>
      <c r="K28" s="21" t="n"/>
      <c r="L28" s="21" t="n"/>
      <c r="M28" s="21" t="n"/>
      <c r="N28" s="21" t="n"/>
      <c r="O28" s="21" t="n"/>
      <c r="P28" s="21" t="n"/>
      <c r="Q28" s="21" t="n">
        <v>0.3</v>
      </c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2">
        <f>SUM(E28:AC28)</f>
        <v/>
      </c>
    </row>
    <row r="29">
      <c r="A29" s="17" t="inlineStr">
        <is>
          <t>3.14</t>
        </is>
      </c>
      <c r="B29" s="18" t="inlineStr">
        <is>
          <t>SUMINISTRO E INSTALACIÓN DE PAVIMENTO PEATONAL EN ADOQUÍN CON CAMA DE ARENA, SELLO, COMPACTACIÓN Y LIMPIEZA FINAL.</t>
        </is>
      </c>
      <c r="C29" s="19" t="n">
        <v>0.01818723102992952</v>
      </c>
      <c r="D29" s="20" t="n">
        <v>12</v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inlineStr">
        <is>
          <t>P</t>
        </is>
      </c>
      <c r="W29" s="21" t="inlineStr">
        <is>
          <t>P</t>
        </is>
      </c>
      <c r="X29" s="21" t="inlineStr">
        <is>
          <t>P</t>
        </is>
      </c>
      <c r="Y29" s="21" t="n"/>
      <c r="Z29" s="21" t="n"/>
      <c r="AA29" s="21" t="n"/>
      <c r="AB29" s="21" t="n"/>
      <c r="AC29" s="21" t="n"/>
      <c r="AD29" s="22">
        <f>SUM(E29:AC29)</f>
        <v/>
      </c>
    </row>
    <row r="30">
      <c r="A30" s="17" t="inlineStr">
        <is>
          <t>3.15</t>
        </is>
      </c>
      <c r="B30" s="18" t="inlineStr">
        <is>
          <t>SUMINISTRO E INSTALACIÓN DE CARPETA ASFÁLTICA EN FRÍO TIPO MDF-19.</t>
        </is>
      </c>
      <c r="C30" s="19" t="n">
        <v>0.02616714008400657</v>
      </c>
      <c r="D30" s="20" t="n">
        <v>7</v>
      </c>
      <c r="E30" s="21" t="n"/>
      <c r="F30" s="21" t="n"/>
      <c r="G30" s="21" t="n"/>
      <c r="H30" s="21" t="n"/>
      <c r="I30" s="21" t="n"/>
      <c r="J30" s="21" t="inlineStr">
        <is>
          <t>P</t>
        </is>
      </c>
      <c r="K30" s="21" t="inlineStr">
        <is>
          <t>P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2">
        <f>SUM(E30:AC30)</f>
        <v/>
      </c>
    </row>
    <row r="31">
      <c r="A31" s="17" t="inlineStr">
        <is>
          <t>3.16</t>
        </is>
      </c>
      <c r="B31" s="18" t="inlineStr">
        <is>
          <t>SUMINISTRO E INSTALACIÓN DE LOSETAS PODOTÁCTILES PARA ACCESIBILIDAD PEATONAL.</t>
        </is>
      </c>
      <c r="C31" s="19" t="n">
        <v>0.01179289350358989</v>
      </c>
      <c r="D31" s="20" t="n">
        <v>9</v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inlineStr">
        <is>
          <t>P</t>
        </is>
      </c>
      <c r="U31" s="21" t="inlineStr">
        <is>
          <t>P</t>
        </is>
      </c>
      <c r="V31" s="21" t="inlineStr">
        <is>
          <t>P</t>
        </is>
      </c>
      <c r="W31" s="21" t="n"/>
      <c r="X31" s="21" t="n"/>
      <c r="Y31" s="21" t="n"/>
      <c r="Z31" s="21" t="n"/>
      <c r="AA31" s="21" t="n"/>
      <c r="AB31" s="21" t="n"/>
      <c r="AC31" s="21" t="n"/>
      <c r="AD31" s="22">
        <f>SUM(E31:AC31)</f>
        <v/>
      </c>
    </row>
    <row r="32">
      <c r="A32" s="17" t="inlineStr">
        <is>
          <t>3.17</t>
        </is>
      </c>
      <c r="B32" s="18" t="inlineStr">
        <is>
          <t>SUMINISTRO E INSTALACIÓN DE BOLARDO EN HIERRO NODULAR ASTM A536, PINTADO Y EMPOTRADO EN CONCRETO.</t>
        </is>
      </c>
      <c r="C32" s="19" t="n">
        <v>0.0008278411710506627</v>
      </c>
      <c r="D32" s="20" t="n">
        <v>2</v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inlineStr">
        <is>
          <t>P</t>
        </is>
      </c>
      <c r="Y32" s="21" t="n"/>
      <c r="Z32" s="21" t="n"/>
      <c r="AA32" s="21" t="n"/>
      <c r="AB32" s="21" t="n"/>
      <c r="AC32" s="21" t="n"/>
      <c r="AD32" s="22">
        <f>SUM(E32:AC32)</f>
        <v/>
      </c>
    </row>
    <row r="33">
      <c r="A33" s="12" t="inlineStr">
        <is>
          <t>4</t>
        </is>
      </c>
      <c r="B33" s="13" t="inlineStr">
        <is>
          <t>MUROS Y REVESTIMIENTOS</t>
        </is>
      </c>
      <c r="C33" s="14">
        <f>SUM(C34:C40)</f>
        <v/>
      </c>
      <c r="D33" s="15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7" t="inlineStr">
        <is>
          <t>4.1</t>
        </is>
      </c>
      <c r="B34" s="18" t="inlineStr">
        <is>
          <t>SUMINISTRO E INSTALACIÓN DE MURO EN MAMPOSTERÍA ABUZARDADA DE 12 CM DE ESPESOR, INCLUYE ACERO DE DOVELAS.</t>
        </is>
      </c>
      <c r="C34" s="19" t="n">
        <v>0.0413111574060786</v>
      </c>
      <c r="D34" s="20" t="n">
        <v>11</v>
      </c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inlineStr">
        <is>
          <t>P</t>
        </is>
      </c>
      <c r="U34" s="21" t="inlineStr">
        <is>
          <t>P</t>
        </is>
      </c>
      <c r="V34" s="21" t="inlineStr">
        <is>
          <t>P</t>
        </is>
      </c>
      <c r="W34" s="21" t="n"/>
      <c r="X34" s="21" t="n"/>
      <c r="Y34" s="21" t="n"/>
      <c r="Z34" s="21" t="n"/>
      <c r="AA34" s="21" t="n"/>
      <c r="AB34" s="21" t="n"/>
      <c r="AC34" s="21" t="n"/>
      <c r="AD34" s="22">
        <f>SUM(E34:AC34)</f>
        <v/>
      </c>
    </row>
    <row r="35">
      <c r="A35" s="17" t="inlineStr">
        <is>
          <t>4.2</t>
        </is>
      </c>
      <c r="B35" s="18" t="inlineStr">
        <is>
          <t>SUMINISTRO E INSTALACIÓN DE MORTERO 1:4 PARA NIVELACIÓN Y PREPARACIÓN DE PISOS, E=4 CM.</t>
        </is>
      </c>
      <c r="C35" s="19" t="n">
        <v>0.004820178381099588</v>
      </c>
      <c r="D35" s="20" t="n">
        <v>7</v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inlineStr">
        <is>
          <t>P</t>
        </is>
      </c>
      <c r="U35" s="21" t="inlineStr">
        <is>
          <t>P</t>
        </is>
      </c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2">
        <f>SUM(E35:AC35)</f>
        <v/>
      </c>
    </row>
    <row r="36">
      <c r="A36" s="17" t="inlineStr">
        <is>
          <t>4.3</t>
        </is>
      </c>
      <c r="B36" s="18" t="inlineStr">
        <is>
          <t>SUMINISTRO E INSTALACIÓN DE REPELLO LISO EN MORTERO 1:4 SOBRE MUROS, INCLUYE FILOS Y JUNTAS DE DILATACIÓN.</t>
        </is>
      </c>
      <c r="C36" s="19" t="n">
        <v>0.00287364252382432</v>
      </c>
      <c r="D36" s="20" t="n">
        <v>7</v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inlineStr">
        <is>
          <t>P</t>
        </is>
      </c>
      <c r="U36" s="21" t="inlineStr">
        <is>
          <t>P</t>
        </is>
      </c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2">
        <f>SUM(E36:AC36)</f>
        <v/>
      </c>
    </row>
    <row r="37">
      <c r="A37" s="17" t="inlineStr">
        <is>
          <t>4.4</t>
        </is>
      </c>
      <c r="B37" s="18" t="inlineStr">
        <is>
          <t>SUMINISTRO E INSTALACIÓN DE REPELLO LISO IMPERMEABILIZADO EN MORTERO 1:4 SOBRE MUROS, INCLUYE FILOS Y JUNTAS DE DILATACIÓN.</t>
        </is>
      </c>
      <c r="C37" s="19" t="n">
        <v>0.001341645558199973</v>
      </c>
      <c r="D37" s="20" t="n">
        <v>3</v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inlineStr">
        <is>
          <t>P</t>
        </is>
      </c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2">
        <f>SUM(E37:AC37)</f>
        <v/>
      </c>
    </row>
    <row r="38">
      <c r="A38" s="17" t="inlineStr">
        <is>
          <t>4.5</t>
        </is>
      </c>
      <c r="B38" s="18" t="inlineStr">
        <is>
          <t>SUMINISTRO E INSTALACIÓN DE DINTEL EN CONCRETO DE 3.000 PSI SOBRE MUROS.</t>
        </is>
      </c>
      <c r="C38" s="19" t="n">
        <v>0.002850600307090841</v>
      </c>
      <c r="D38" s="20" t="n">
        <v>3</v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inlineStr">
        <is>
          <t>P</t>
        </is>
      </c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2">
        <f>SUM(E38:AC38)</f>
        <v/>
      </c>
    </row>
    <row r="39">
      <c r="A39" s="17" t="inlineStr">
        <is>
          <t>4.6</t>
        </is>
      </c>
      <c r="B39" s="18" t="inlineStr">
        <is>
          <t>SUMINISTRO E INSTALACIÓN DE ALFAJÍA EN MURO DE BORDE CON FORMACIÓN DE CORTAGOTERO.</t>
        </is>
      </c>
      <c r="C39" s="19" t="n">
        <v>0.0004506634701125623</v>
      </c>
      <c r="D39" s="20" t="n">
        <v>2</v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inlineStr">
        <is>
          <t>P</t>
        </is>
      </c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2">
        <f>SUM(E39:AC39)</f>
        <v/>
      </c>
    </row>
    <row r="40">
      <c r="A40" s="17" t="inlineStr">
        <is>
          <t>4.7</t>
        </is>
      </c>
      <c r="B40" s="18" t="inlineStr">
        <is>
          <t>SUMINISTRO E INSTALACIÓN DE LAVATRAPEROS EN MAMPOSTERÍA CON ACABADO EN GRANITO PULIDO, INCLUYE GRIFERÍA, PAÑETE, PULIDA Y BRILLADA.</t>
        </is>
      </c>
      <c r="C40" s="19" t="n">
        <v>0.0002149209925206824</v>
      </c>
      <c r="D40" s="20" t="n">
        <v>1</v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inlineStr">
        <is>
          <t>P</t>
        </is>
      </c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2">
        <f>SUM(E40:AC40)</f>
        <v/>
      </c>
    </row>
    <row r="41">
      <c r="A41" s="12" t="inlineStr">
        <is>
          <t>5</t>
        </is>
      </c>
      <c r="B41" s="13" t="inlineStr">
        <is>
          <t>ACABADOS ARQUITECTÓNICOS</t>
        </is>
      </c>
      <c r="C41" s="14">
        <f>SUM(C42:C49)</f>
        <v/>
      </c>
      <c r="D41" s="15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7" t="inlineStr">
        <is>
          <t>5.1</t>
        </is>
      </c>
      <c r="B42" s="18" t="inlineStr">
        <is>
          <t>SUMINISTRO E INSTALACIÓN DE PISO EN CONCRETO PULIDO DE 4.000 PSI.</t>
        </is>
      </c>
      <c r="C42" s="19" t="n">
        <v>0.02521658121685484</v>
      </c>
      <c r="D42" s="20" t="n">
        <v>11</v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inlineStr">
        <is>
          <t>P</t>
        </is>
      </c>
      <c r="Y42" s="21" t="inlineStr">
        <is>
          <t>P</t>
        </is>
      </c>
      <c r="Z42" s="21" t="inlineStr">
        <is>
          <t>P</t>
        </is>
      </c>
      <c r="AA42" s="21" t="n"/>
      <c r="AB42" s="21" t="n"/>
      <c r="AC42" s="21" t="n"/>
      <c r="AD42" s="22">
        <f>SUM(E42:AC42)</f>
        <v/>
      </c>
    </row>
    <row r="43">
      <c r="A43" s="17" t="inlineStr">
        <is>
          <t>5.2</t>
        </is>
      </c>
      <c r="B43" s="18" t="inlineStr">
        <is>
          <t>SUMINISTRO E INSTALACIÓN DE PISO CERÁMICO ANTIDESLIZANTE FORMATO 30X30 PARA BAÑOS Y ÁREAS HÚMEDAS.</t>
        </is>
      </c>
      <c r="C43" s="19" t="n">
        <v>0.001991244908867702</v>
      </c>
      <c r="D43" s="20" t="n">
        <v>5</v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inlineStr">
        <is>
          <t>P</t>
        </is>
      </c>
      <c r="Y43" s="21" t="inlineStr">
        <is>
          <t>P</t>
        </is>
      </c>
      <c r="Z43" s="21" t="n"/>
      <c r="AA43" s="21" t="n"/>
      <c r="AB43" s="21" t="n"/>
      <c r="AC43" s="21" t="n"/>
      <c r="AD43" s="22">
        <f>SUM(E43:AC43)</f>
        <v/>
      </c>
    </row>
    <row r="44">
      <c r="A44" s="17" t="inlineStr">
        <is>
          <t>5.3</t>
        </is>
      </c>
      <c r="B44" s="18" t="inlineStr">
        <is>
          <t>SUMINISTRO E INSTALACIÓN DE BORDILLO EN CONCRETO DE 3.000 PSI.</t>
        </is>
      </c>
      <c r="C44" s="19" t="n">
        <v>0.003968753347990113</v>
      </c>
      <c r="D44" s="20" t="n">
        <v>10</v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inlineStr">
        <is>
          <t>P</t>
        </is>
      </c>
      <c r="Y44" s="21" t="inlineStr">
        <is>
          <t>P</t>
        </is>
      </c>
      <c r="Z44" s="21" t="inlineStr">
        <is>
          <t>P</t>
        </is>
      </c>
      <c r="AA44" s="21" t="n"/>
      <c r="AB44" s="21" t="n"/>
      <c r="AC44" s="21" t="n"/>
      <c r="AD44" s="22">
        <f>SUM(E44:AC44)</f>
        <v/>
      </c>
    </row>
    <row r="45">
      <c r="A45" s="17" t="inlineStr">
        <is>
          <t>5.4</t>
        </is>
      </c>
      <c r="B45" s="18" t="inlineStr">
        <is>
          <t>SUMINISTRO E INSTALACIÓN DE REVESTIMIENTO CERÁMICO PARA MUROS FORMATO 30X30 HASTA ALTURA DE 2,00 M.</t>
        </is>
      </c>
      <c r="C45" s="19" t="n">
        <v>0.005331056493185314</v>
      </c>
      <c r="D45" s="20" t="n">
        <v>8</v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inlineStr">
        <is>
          <t>P</t>
        </is>
      </c>
      <c r="Y45" s="21" t="inlineStr">
        <is>
          <t>P</t>
        </is>
      </c>
      <c r="Z45" s="21" t="inlineStr">
        <is>
          <t>P</t>
        </is>
      </c>
      <c r="AA45" s="21" t="n"/>
      <c r="AB45" s="21" t="n"/>
      <c r="AC45" s="21" t="n"/>
      <c r="AD45" s="22">
        <f>SUM(E45:AC45)</f>
        <v/>
      </c>
    </row>
    <row r="46">
      <c r="A46" s="17" t="inlineStr">
        <is>
          <t>5.5</t>
        </is>
      </c>
      <c r="B46" s="18" t="inlineStr">
        <is>
          <t>SUMINISTRO E INSTALACIÓN DE ESTUCO PLÁSTICO SOBRE SUPERFICIES DE MURO.</t>
        </is>
      </c>
      <c r="C46" s="19" t="n">
        <v>0.002449299291634454</v>
      </c>
      <c r="D46" s="20" t="n">
        <v>12</v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inlineStr">
        <is>
          <t>P</t>
        </is>
      </c>
      <c r="Y46" s="21" t="inlineStr">
        <is>
          <t>P</t>
        </is>
      </c>
      <c r="Z46" s="21" t="inlineStr">
        <is>
          <t>P</t>
        </is>
      </c>
      <c r="AA46" s="21" t="n"/>
      <c r="AB46" s="21" t="n"/>
      <c r="AC46" s="21" t="n"/>
      <c r="AD46" s="22">
        <f>SUM(E46:AC46)</f>
        <v/>
      </c>
    </row>
    <row r="47">
      <c r="A47" s="17" t="inlineStr">
        <is>
          <t>5.6</t>
        </is>
      </c>
      <c r="B47" s="18" t="inlineStr">
        <is>
          <t>SUMINISTRO E INSTALACIÓN DE SISTEMA DE PINTURA BLANCA TIPO 1, INCLUYE FILOS Y DILATACIONES.</t>
        </is>
      </c>
      <c r="C47" s="19" t="n">
        <v>0.003839820294343501</v>
      </c>
      <c r="D47" s="20" t="n">
        <v>11</v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inlineStr">
        <is>
          <t>P</t>
        </is>
      </c>
      <c r="Y47" s="21" t="inlineStr">
        <is>
          <t>P</t>
        </is>
      </c>
      <c r="Z47" s="21" t="inlineStr">
        <is>
          <t>P</t>
        </is>
      </c>
      <c r="AA47" s="21" t="n"/>
      <c r="AB47" s="21" t="n"/>
      <c r="AC47" s="21" t="n"/>
      <c r="AD47" s="22">
        <f>SUM(E47:AC47)</f>
        <v/>
      </c>
    </row>
    <row r="48">
      <c r="A48" s="17" t="inlineStr">
        <is>
          <t>5.7</t>
        </is>
      </c>
      <c r="B48" s="18" t="inlineStr">
        <is>
          <t>SUMINISTRO E INSTALACIÓN DE RECUBRIMIENTO EPÓXICO A BASE DE RESINA ACRÍLICA TERMOPLÁSTICA.</t>
        </is>
      </c>
      <c r="C48" s="19" t="n">
        <v>0.02194106317655459</v>
      </c>
      <c r="D48" s="20" t="n">
        <v>11</v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inlineStr">
        <is>
          <t>P</t>
        </is>
      </c>
      <c r="Y48" s="21" t="inlineStr">
        <is>
          <t>P</t>
        </is>
      </c>
      <c r="Z48" s="21" t="inlineStr">
        <is>
          <t>P</t>
        </is>
      </c>
      <c r="AA48" s="21" t="n"/>
      <c r="AB48" s="21" t="n"/>
      <c r="AC48" s="21" t="n"/>
      <c r="AD48" s="22">
        <f>SUM(E48:AC48)</f>
        <v/>
      </c>
    </row>
    <row r="49">
      <c r="A49" s="17" t="inlineStr">
        <is>
          <t>5.8</t>
        </is>
      </c>
      <c r="B49" s="18" t="inlineStr">
        <is>
          <t>SUMINISTRO E INSTALACIÓN DE PINTURA PARA DEMARCACIÓN DE ÁREAS.</t>
        </is>
      </c>
      <c r="C49" s="19" t="n">
        <v>0.001419615708216479</v>
      </c>
      <c r="D49" s="20" t="n">
        <v>6</v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inlineStr">
        <is>
          <t>P</t>
        </is>
      </c>
      <c r="Y49" s="21" t="inlineStr">
        <is>
          <t>P</t>
        </is>
      </c>
      <c r="Z49" s="21" t="n"/>
      <c r="AA49" s="21" t="n"/>
      <c r="AB49" s="21" t="n"/>
      <c r="AC49" s="21" t="n"/>
      <c r="AD49" s="22">
        <f>SUM(E49:AC49)</f>
        <v/>
      </c>
    </row>
    <row r="50">
      <c r="A50" s="12" t="inlineStr">
        <is>
          <t>6</t>
        </is>
      </c>
      <c r="B50" s="13" t="inlineStr">
        <is>
          <t>SISTEMA DE CUBIERTA</t>
        </is>
      </c>
      <c r="C50" s="14">
        <f>SUM(C51:C55)</f>
        <v/>
      </c>
      <c r="D50" s="15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7" t="inlineStr">
        <is>
          <t>6.1</t>
        </is>
      </c>
      <c r="B51" s="18" t="inlineStr">
        <is>
          <t>Suministro, fabricación, transporte y montaje de ESTRUCTURA METÁLICA DE CUBIERTA SEGUN DISEÑO MALOKA en acero ASTM-500 grC (tubería estructural rectangular), uniones soldadas SMAW con electrodo E7018 y empernadas A325, según planos EST-010. Incluye platinas/placas de conexión, consumibles de soldadura, sistema de pintura anticorrosiva, cortes, despuntes y elementos auxiliares de montaje. Medido por kg de acero.</t>
        </is>
      </c>
      <c r="C51" s="19" t="n">
        <v>0.1091345224026924</v>
      </c>
      <c r="D51" s="20" t="n">
        <v>17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>
        <v>0.06</v>
      </c>
      <c r="P51" s="21" t="inlineStr">
        <is>
          <t>P</t>
        </is>
      </c>
      <c r="Q51" s="21" t="n">
        <v>0.04</v>
      </c>
      <c r="R51" s="21" t="n">
        <v>0.21</v>
      </c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2">
        <f>SUM(E51:AC51)</f>
        <v/>
      </c>
    </row>
    <row r="52">
      <c r="A52" s="17" t="inlineStr">
        <is>
          <t>6.2</t>
        </is>
      </c>
      <c r="B52" s="18" t="inlineStr">
        <is>
          <t>Suministro, fabricación, transporte y montaje de CORREAS METÁLICAS TIPO CAJÓN doble (2 perfiles C-125 cal 14, t=2,0 mm) unidas con soldadura intermitente 50@250, incluye platinas de unión a viga cinta (140×260×6,5 y 140×200×6,5), lámina conectora 50×220×2,0, pernos 3/8", consumibles de soldadura E7018, sistema de pintura anticorrosiva, cortes, despuntes y montaje. Medido por kg de acero.</t>
        </is>
      </c>
      <c r="C52" s="19" t="n">
        <v>0.01252811527073654</v>
      </c>
      <c r="D52" s="20" t="n">
        <v>11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inlineStr">
        <is>
          <t>P</t>
        </is>
      </c>
      <c r="S52" s="21" t="inlineStr">
        <is>
          <t>P</t>
        </is>
      </c>
      <c r="T52" s="21" t="inlineStr">
        <is>
          <t>P</t>
        </is>
      </c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2">
        <f>SUM(E52:AC52)</f>
        <v/>
      </c>
    </row>
    <row r="53">
      <c r="A53" s="17" t="inlineStr">
        <is>
          <t>6.3</t>
        </is>
      </c>
      <c r="B53" s="18" t="inlineStr">
        <is>
          <t>SUMINISTRO E INSTALACIÓN DE ESTRUCTURA METÁLICA PARA PÉRGOLA, INCLUYE PERFILERÍA Y UNIONES SOLDADAS.</t>
        </is>
      </c>
      <c r="C53" s="19" t="n">
        <v>0.03250622538651312</v>
      </c>
      <c r="D53" s="20" t="n">
        <v>11</v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inlineStr">
        <is>
          <t>P</t>
        </is>
      </c>
      <c r="S53" s="21" t="inlineStr">
        <is>
          <t>P</t>
        </is>
      </c>
      <c r="T53" s="21" t="inlineStr">
        <is>
          <t>P</t>
        </is>
      </c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2">
        <f>SUM(E53:AC53)</f>
        <v/>
      </c>
    </row>
    <row r="54">
      <c r="A54" s="17" t="inlineStr">
        <is>
          <t>6.4</t>
        </is>
      </c>
      <c r="B54" s="18" t="inlineStr">
        <is>
          <t>SUMINISTRO E INSTALACIÓN DE CUBIERTA TERMOACÚSTICA TIPO SÁNDWICH DE 18 MM DE ESPESOR.</t>
        </is>
      </c>
      <c r="C54" s="19" t="n">
        <v>0.07807326095588064</v>
      </c>
      <c r="D54" s="20" t="n">
        <v>23</v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inlineStr">
        <is>
          <t>P</t>
        </is>
      </c>
      <c r="U54" s="21" t="inlineStr">
        <is>
          <t>P</t>
        </is>
      </c>
      <c r="V54" s="21" t="inlineStr">
        <is>
          <t>P</t>
        </is>
      </c>
      <c r="W54" s="21" t="inlineStr">
        <is>
          <t>P</t>
        </is>
      </c>
      <c r="X54" s="21" t="inlineStr">
        <is>
          <t>P</t>
        </is>
      </c>
      <c r="Y54" s="21" t="n"/>
      <c r="Z54" s="21" t="n"/>
      <c r="AA54" s="21" t="n"/>
      <c r="AB54" s="21" t="n"/>
      <c r="AC54" s="21" t="n"/>
      <c r="AD54" s="22">
        <f>SUM(E54:AC54)</f>
        <v/>
      </c>
    </row>
    <row r="55">
      <c r="A55" s="17" t="inlineStr">
        <is>
          <t>6.5</t>
        </is>
      </c>
      <c r="B55" s="18" t="inlineStr">
        <is>
          <t>SUMINISTRO E INSTALACIÓN DE CUBIERTA LIVIANA EN POLICARBONATO.</t>
        </is>
      </c>
      <c r="C55" s="19" t="n">
        <v>0.002666587535058537</v>
      </c>
      <c r="D55" s="20" t="n">
        <v>4</v>
      </c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inlineStr">
        <is>
          <t>P</t>
        </is>
      </c>
      <c r="Y55" s="21" t="inlineStr">
        <is>
          <t>P</t>
        </is>
      </c>
      <c r="Z55" s="21" t="n"/>
      <c r="AA55" s="21" t="n"/>
      <c r="AB55" s="21" t="n"/>
      <c r="AC55" s="21" t="n"/>
      <c r="AD55" s="22">
        <f>SUM(E55:AC55)</f>
        <v/>
      </c>
    </row>
    <row r="56">
      <c r="A56" s="12" t="inlineStr">
        <is>
          <t>7</t>
        </is>
      </c>
      <c r="B56" s="13" t="inlineStr">
        <is>
          <t>CARPINTERÍA METÁLICA</t>
        </is>
      </c>
      <c r="C56" s="14">
        <f>SUM(C57:C62)</f>
        <v/>
      </c>
      <c r="D56" s="15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7" t="inlineStr">
        <is>
          <t>7.1</t>
        </is>
      </c>
      <c r="B57" s="18" t="inlineStr">
        <is>
          <t>Suministro, fabricación e instalación de PUERTA METÁLICA ABATIBLE PT01 de 1,20 m × 2,00 m, en lámina cold rolled cal. 18 con marco y refuerzos en perfilería estructural. Incluye 3 bisagras soldables, cerradura de seguridad, anclajes, pintura anticorrosiva y esmalte sintético.</t>
        </is>
      </c>
      <c r="C57" s="19" t="n">
        <v>0.007147382220966628</v>
      </c>
      <c r="D57" s="20" t="n">
        <v>9</v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inlineStr">
        <is>
          <t>P</t>
        </is>
      </c>
      <c r="W57" s="21" t="inlineStr">
        <is>
          <t>P</t>
        </is>
      </c>
      <c r="X57" s="21" t="n"/>
      <c r="Y57" s="21" t="n"/>
      <c r="Z57" s="21" t="n"/>
      <c r="AA57" s="21" t="n"/>
      <c r="AB57" s="21" t="n"/>
      <c r="AC57" s="21" t="n"/>
      <c r="AD57" s="22">
        <f>SUM(E57:AC57)</f>
        <v/>
      </c>
    </row>
    <row r="58">
      <c r="A58" s="17" t="inlineStr">
        <is>
          <t>7.2</t>
        </is>
      </c>
      <c r="B58" s="18" t="inlineStr">
        <is>
          <t>Suministro, fabricación e instalación de PUERTA METÁLICA ABATIBLE PT02 de 0,70 m × 2,00 m (acceso a baño/servicio), en lámina cold rolled cal. 18 con marco y refuerzos en perfilería estructural. Incluye 3 bisagras soldables, cerradura sencilla, anclajes, pintura anticorrosiva y esmalte sintético.</t>
        </is>
      </c>
      <c r="C58" s="19" t="n">
        <v>0.001523497283306681</v>
      </c>
      <c r="D58" s="20" t="n">
        <v>4</v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inlineStr">
        <is>
          <t>P</t>
        </is>
      </c>
      <c r="W58" s="21" t="n"/>
      <c r="X58" s="21" t="n"/>
      <c r="Y58" s="21" t="n"/>
      <c r="Z58" s="21" t="n"/>
      <c r="AA58" s="21" t="n"/>
      <c r="AB58" s="21" t="n"/>
      <c r="AC58" s="21" t="n"/>
      <c r="AD58" s="22">
        <f>SUM(E58:AC58)</f>
        <v/>
      </c>
    </row>
    <row r="59">
      <c r="A59" s="17" t="inlineStr">
        <is>
          <t>7.3</t>
        </is>
      </c>
      <c r="B59" s="18" t="inlineStr">
        <is>
          <t>Suministro, fabricación e instalación de PERSIANA FIJA VT01 de 1,40 m × 0,60 m, tipo celosía/louver con lamas horizontales en lámina cold rolled cal. 18, marco en perfilería estructural. Incluye anclajes, pintura anticorrosiva y esmalte sintético.</t>
        </is>
      </c>
      <c r="C59" s="19" t="n">
        <v>0.001308022107339901</v>
      </c>
      <c r="D59" s="20" t="n">
        <v>4</v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inlineStr">
        <is>
          <t>P</t>
        </is>
      </c>
      <c r="W59" s="21" t="n"/>
      <c r="X59" s="21" t="n"/>
      <c r="Y59" s="21" t="n"/>
      <c r="Z59" s="21" t="n"/>
      <c r="AA59" s="21" t="n"/>
      <c r="AB59" s="21" t="n"/>
      <c r="AC59" s="21" t="n"/>
      <c r="AD59" s="22">
        <f>SUM(E59:AC59)</f>
        <v/>
      </c>
    </row>
    <row r="60">
      <c r="A60" s="17" t="inlineStr">
        <is>
          <t>7.4</t>
        </is>
      </c>
      <c r="B60" s="18" t="inlineStr">
        <is>
          <t>Suministro, fabricación e instalación de VENTANA CORREDIZA VT02 de 1,40 m × 1,00 m, de dos hojas en lámina cold rolled cal. 18 , riel y rodamientos, vidrio crudo 4 mm, felpa/empaque, anclajes, pintura anticorrosiva y esmalte sintético.</t>
        </is>
      </c>
      <c r="C60" s="19" t="n">
        <v>0.0007518844746618882</v>
      </c>
      <c r="D60" s="20" t="n">
        <v>2</v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inlineStr">
        <is>
          <t>P</t>
        </is>
      </c>
      <c r="W60" s="21" t="n"/>
      <c r="X60" s="21" t="n"/>
      <c r="Y60" s="21" t="n"/>
      <c r="Z60" s="21" t="n"/>
      <c r="AA60" s="21" t="n"/>
      <c r="AB60" s="21" t="n"/>
      <c r="AC60" s="21" t="n"/>
      <c r="AD60" s="22">
        <f>SUM(E60:AC60)</f>
        <v/>
      </c>
    </row>
    <row r="61">
      <c r="A61" s="17" t="inlineStr">
        <is>
          <t>7.5</t>
        </is>
      </c>
      <c r="B61" s="18" t="inlineStr">
        <is>
          <t>Suministro, fabricación e instalación de PERSIANA FIJA VT03 tipo celosía/louver con lamas horizontales en lámina cold rolled cal. 18, marco en perfilería estructural, de altura 0,40 m y longitud variable. Incluye anclajes, pintura anticorrosiva y esmalte sintético. Medido por m² de fachada.</t>
        </is>
      </c>
      <c r="C61" s="19" t="n">
        <v>0.001759709511550449</v>
      </c>
      <c r="D61" s="20" t="n">
        <v>5</v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inlineStr">
        <is>
          <t>P</t>
        </is>
      </c>
      <c r="W61" s="21" t="inlineStr">
        <is>
          <t>P</t>
        </is>
      </c>
      <c r="X61" s="21" t="n"/>
      <c r="Y61" s="21" t="n"/>
      <c r="Z61" s="21" t="n"/>
      <c r="AA61" s="21" t="n"/>
      <c r="AB61" s="21" t="n"/>
      <c r="AC61" s="21" t="n"/>
      <c r="AD61" s="22">
        <f>SUM(E61:AC61)</f>
        <v/>
      </c>
    </row>
    <row r="62">
      <c r="A62" s="17" t="inlineStr">
        <is>
          <t>7.6</t>
        </is>
      </c>
      <c r="B62" s="18" t="inlineStr">
        <is>
          <t>Suministro, fabricación e instalación de PERSIANA FIJA VT04 tipo celosía/louver con lamas horizontales en lámina cold rolled cal. 18, marco en perfilería estructural, de altura 1,00 m y longitud variable. Incluye anclajes, pintura anticorrosiva y esmalte sintético. Medido por m² de fachada.</t>
        </is>
      </c>
      <c r="C62" s="19" t="n">
        <v>0.004007069278186794</v>
      </c>
      <c r="D62" s="20" t="n">
        <v>9</v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inlineStr">
        <is>
          <t>P</t>
        </is>
      </c>
      <c r="W62" s="21" t="inlineStr">
        <is>
          <t>P</t>
        </is>
      </c>
      <c r="X62" s="21" t="n"/>
      <c r="Y62" s="21" t="n"/>
      <c r="Z62" s="21" t="n"/>
      <c r="AA62" s="21" t="n"/>
      <c r="AB62" s="21" t="n"/>
      <c r="AC62" s="21" t="n"/>
      <c r="AD62" s="22">
        <f>SUM(E62:AC62)</f>
        <v/>
      </c>
    </row>
    <row r="63">
      <c r="A63" s="12" t="inlineStr">
        <is>
          <t>8</t>
        </is>
      </c>
      <c r="B63" s="13" t="inlineStr">
        <is>
          <t>REDES HIDRÁULICAS</t>
        </is>
      </c>
      <c r="C63" s="14">
        <f>SUM(C64:C75)</f>
        <v/>
      </c>
      <c r="D63" s="15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7" t="inlineStr">
        <is>
          <t>8.1</t>
        </is>
      </c>
      <c r="B64" s="18" t="inlineStr">
        <is>
          <t>SUMINISTRO E INSTALACIÓN DE TUBERÍA PVC PRESIÓN Ø 1/2", INCLUYE ACCESORIOS DE CONEXIÓN Y FIJACIÓN.</t>
        </is>
      </c>
      <c r="C64" s="19" t="n">
        <v>5.831747736438465e-05</v>
      </c>
      <c r="D64" s="20" t="n">
        <v>1</v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inlineStr">
        <is>
          <t>P</t>
        </is>
      </c>
      <c r="W64" s="21" t="n"/>
      <c r="X64" s="21" t="n"/>
      <c r="Y64" s="21" t="n"/>
      <c r="Z64" s="21" t="n"/>
      <c r="AA64" s="21" t="n"/>
      <c r="AB64" s="21" t="n"/>
      <c r="AC64" s="21" t="n"/>
      <c r="AD64" s="22">
        <f>SUM(E64:AC64)</f>
        <v/>
      </c>
    </row>
    <row r="65">
      <c r="A65" s="17" t="inlineStr">
        <is>
          <t>8.2</t>
        </is>
      </c>
      <c r="B65" s="18" t="inlineStr">
        <is>
          <t>SUMINISTRO E INSTALACIÓN DE TUBERÍA PVC PRESIÓN Ø 3/4", INCLUYE ACCESORIOS DE CONEXIÓN Y FIJACIÓN.</t>
        </is>
      </c>
      <c r="C65" s="19" t="n">
        <v>0.001615461154576632</v>
      </c>
      <c r="D65" s="20" t="n">
        <v>7</v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inlineStr">
        <is>
          <t>P</t>
        </is>
      </c>
      <c r="W65" s="21" t="inlineStr">
        <is>
          <t>P</t>
        </is>
      </c>
      <c r="X65" s="21" t="n"/>
      <c r="Y65" s="21" t="n"/>
      <c r="Z65" s="21" t="n"/>
      <c r="AA65" s="21" t="n"/>
      <c r="AB65" s="21" t="n"/>
      <c r="AC65" s="21" t="n"/>
      <c r="AD65" s="22">
        <f>SUM(E65:AC65)</f>
        <v/>
      </c>
    </row>
    <row r="66">
      <c r="A66" s="17" t="inlineStr">
        <is>
          <t>8.3</t>
        </is>
      </c>
      <c r="B66" s="18" t="inlineStr">
        <is>
          <t>SUMINISTRO E INSTALACIÓN DE TUBERÍA PVC PRESIÓN Ø 1", INCLUYE ACCESORIOS DE CONEXIÓN Y FIJACIÓN.</t>
        </is>
      </c>
      <c r="C66" s="19" t="n">
        <v>0.00131416280302413</v>
      </c>
      <c r="D66" s="20" t="n">
        <v>5</v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inlineStr">
        <is>
          <t>P</t>
        </is>
      </c>
      <c r="W66" s="21" t="inlineStr">
        <is>
          <t>P</t>
        </is>
      </c>
      <c r="X66" s="21" t="n"/>
      <c r="Y66" s="21" t="n"/>
      <c r="Z66" s="21" t="n"/>
      <c r="AA66" s="21" t="n"/>
      <c r="AB66" s="21" t="n"/>
      <c r="AC66" s="21" t="n"/>
      <c r="AD66" s="22">
        <f>SUM(E66:AC66)</f>
        <v/>
      </c>
    </row>
    <row r="67">
      <c r="A67" s="17" t="inlineStr">
        <is>
          <t>8.4</t>
        </is>
      </c>
      <c r="B67" s="18" t="inlineStr">
        <is>
          <t>EJECUCIÓN DE PUNTO HIDRÁULICO PARA AGUA FRÍA EN PVC PRESIÓN Ø 1/2".</t>
        </is>
      </c>
      <c r="C67" s="19" t="n">
        <v>0.0005867213985243272</v>
      </c>
      <c r="D67" s="20" t="n">
        <v>3</v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inlineStr">
        <is>
          <t>P</t>
        </is>
      </c>
      <c r="W67" s="21" t="n"/>
      <c r="X67" s="21" t="n"/>
      <c r="Y67" s="21" t="n"/>
      <c r="Z67" s="21" t="n"/>
      <c r="AA67" s="21" t="n"/>
      <c r="AB67" s="21" t="n"/>
      <c r="AC67" s="21" t="n"/>
      <c r="AD67" s="22">
        <f>SUM(E67:AC67)</f>
        <v/>
      </c>
    </row>
    <row r="68">
      <c r="A68" s="17" t="inlineStr">
        <is>
          <t>8.5</t>
        </is>
      </c>
      <c r="B68" s="18" t="inlineStr">
        <is>
          <t>SUMINISTRO E INSTALACIÓN DE VÁLVULA DE REGISTRO TIPO BOLA EN PVC PRESIÓN Ø 3/4".</t>
        </is>
      </c>
      <c r="C68" s="19" t="n">
        <v>0.0007256446716555144</v>
      </c>
      <c r="D68" s="20" t="n">
        <v>2</v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inlineStr">
        <is>
          <t>P</t>
        </is>
      </c>
      <c r="W68" s="21" t="n"/>
      <c r="X68" s="21" t="n"/>
      <c r="Y68" s="21" t="n"/>
      <c r="Z68" s="21" t="n"/>
      <c r="AA68" s="21" t="n"/>
      <c r="AB68" s="21" t="n"/>
      <c r="AC68" s="21" t="n"/>
      <c r="AD68" s="22">
        <f>SUM(E68:AC68)</f>
        <v/>
      </c>
    </row>
    <row r="69">
      <c r="A69" s="17" t="inlineStr">
        <is>
          <t>8.6</t>
        </is>
      </c>
      <c r="B69" s="18" t="inlineStr">
        <is>
          <t>SUMINISTRO E INSTALACIÓN DE VÁLVULA CHEQUE TIPO CORTINA Ø 1".</t>
        </is>
      </c>
      <c r="C69" s="19" t="n">
        <v>0.0004326330408358461</v>
      </c>
      <c r="D69" s="20" t="n">
        <v>1</v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inlineStr">
        <is>
          <t>P</t>
        </is>
      </c>
      <c r="W69" s="21" t="n"/>
      <c r="X69" s="21" t="n"/>
      <c r="Y69" s="21" t="n"/>
      <c r="Z69" s="21" t="n"/>
      <c r="AA69" s="21" t="n"/>
      <c r="AB69" s="21" t="n"/>
      <c r="AC69" s="21" t="n"/>
      <c r="AD69" s="22">
        <f>SUM(E69:AC69)</f>
        <v/>
      </c>
    </row>
    <row r="70">
      <c r="A70" s="17" t="inlineStr">
        <is>
          <t>8.7</t>
        </is>
      </c>
      <c r="B70" s="18" t="inlineStr">
        <is>
          <t>SUMINISTRO E INSTALACIÓN DE VÁLVULA DE BOLA ROSCADA EN ACERO INOXIDABLE Ø 1".</t>
        </is>
      </c>
      <c r="C70" s="19" t="n">
        <v>0.0001539503712315117</v>
      </c>
      <c r="D70" s="20" t="n">
        <v>1</v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inlineStr">
        <is>
          <t>P</t>
        </is>
      </c>
      <c r="W70" s="21" t="n"/>
      <c r="X70" s="21" t="n"/>
      <c r="Y70" s="21" t="n"/>
      <c r="Z70" s="21" t="n"/>
      <c r="AA70" s="21" t="n"/>
      <c r="AB70" s="21" t="n"/>
      <c r="AC70" s="21" t="n"/>
      <c r="AD70" s="22">
        <f>SUM(E70:AC70)</f>
        <v/>
      </c>
    </row>
    <row r="71">
      <c r="A71" s="17" t="inlineStr">
        <is>
          <t>8.8</t>
        </is>
      </c>
      <c r="B71" s="18" t="inlineStr">
        <is>
          <t>SUMINISTRO E INSTALACIÓN DE VÁLVULA FLOTADORA EN BRONCE Ø 1" CON BOLA DE COBRE.</t>
        </is>
      </c>
      <c r="C71" s="19" t="n">
        <v>0.0001213348480404169</v>
      </c>
      <c r="D71" s="20" t="n">
        <v>1</v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inlineStr">
        <is>
          <t>P</t>
        </is>
      </c>
      <c r="W71" s="21" t="n"/>
      <c r="X71" s="21" t="n"/>
      <c r="Y71" s="21" t="n"/>
      <c r="Z71" s="21" t="n"/>
      <c r="AA71" s="21" t="n"/>
      <c r="AB71" s="21" t="n"/>
      <c r="AC71" s="21" t="n"/>
      <c r="AD71" s="22">
        <f>SUM(E71:AC71)</f>
        <v/>
      </c>
    </row>
    <row r="72">
      <c r="A72" s="17" t="inlineStr">
        <is>
          <t>8.9</t>
        </is>
      </c>
      <c r="B72" s="18" t="inlineStr">
        <is>
          <t>SUMINISTRO E INSTALACIÓN DE CAJA PARA MEDICIÓN DE CONSUMO DE ACUEDUCTO.</t>
        </is>
      </c>
      <c r="C72" s="19" t="n">
        <v>0.000149337894205036</v>
      </c>
      <c r="D72" s="20" t="n">
        <v>1</v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inlineStr">
        <is>
          <t>P</t>
        </is>
      </c>
      <c r="W72" s="21" t="n"/>
      <c r="X72" s="21" t="n"/>
      <c r="Y72" s="21" t="n"/>
      <c r="Z72" s="21" t="n"/>
      <c r="AA72" s="21" t="n"/>
      <c r="AB72" s="21" t="n"/>
      <c r="AC72" s="21" t="n"/>
      <c r="AD72" s="22">
        <f>SUM(E72:AC72)</f>
        <v/>
      </c>
    </row>
    <row r="73">
      <c r="A73" s="17" t="inlineStr">
        <is>
          <t>8.10</t>
        </is>
      </c>
      <c r="B73" s="18" t="inlineStr">
        <is>
          <t>SUMINISTRO E INSTALACIÓN DE TANQUE DE ALMACENAMIENTO DE AGUA DE 2.000 L, INCLUYE ACCESORIOS DE CONTROL Y CONEXIÓN.</t>
        </is>
      </c>
      <c r="C73" s="19" t="n">
        <v>0.0007411774714738128</v>
      </c>
      <c r="D73" s="20" t="n">
        <v>1</v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inlineStr">
        <is>
          <t>P</t>
        </is>
      </c>
      <c r="W73" s="21" t="n"/>
      <c r="X73" s="21" t="n"/>
      <c r="Y73" s="21" t="n"/>
      <c r="Z73" s="21" t="n"/>
      <c r="AA73" s="21" t="n"/>
      <c r="AB73" s="21" t="n"/>
      <c r="AC73" s="21" t="n"/>
      <c r="AD73" s="22">
        <f>SUM(E73:AC73)</f>
        <v/>
      </c>
    </row>
    <row r="74">
      <c r="A74" s="17" t="inlineStr">
        <is>
          <t>8.11</t>
        </is>
      </c>
      <c r="B74" s="18" t="inlineStr">
        <is>
          <t>EJECUCIÓN DE ACOMETIDA HIDRÁULICA PRINCIPAL, INCLUYE REGISTRO DE INSPECCIÓN CON TAPA.</t>
        </is>
      </c>
      <c r="C74" s="19" t="n">
        <v>0.0002443210583280229</v>
      </c>
      <c r="D74" s="20" t="n">
        <v>1</v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inlineStr">
        <is>
          <t>P</t>
        </is>
      </c>
      <c r="W74" s="21" t="n"/>
      <c r="X74" s="21" t="n"/>
      <c r="Y74" s="21" t="n"/>
      <c r="Z74" s="21" t="n"/>
      <c r="AA74" s="21" t="n"/>
      <c r="AB74" s="21" t="n"/>
      <c r="AC74" s="21" t="n"/>
      <c r="AD74" s="22">
        <f>SUM(E74:AC74)</f>
        <v/>
      </c>
    </row>
    <row r="75">
      <c r="A75" s="17" t="inlineStr">
        <is>
          <t>8.12</t>
        </is>
      </c>
      <c r="B75" s="18" t="inlineStr">
        <is>
          <t>SUMINISTRO E INSTALACIÓN DE EXTINTOR MULTIPROPÓSITO ABC DE 10 LB.</t>
        </is>
      </c>
      <c r="C75" s="19" t="n">
        <v>0.0002322796888074175</v>
      </c>
      <c r="D75" s="20" t="n">
        <v>1</v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inlineStr">
        <is>
          <t>P</t>
        </is>
      </c>
      <c r="W75" s="21" t="n"/>
      <c r="X75" s="21" t="n"/>
      <c r="Y75" s="21" t="n"/>
      <c r="Z75" s="21" t="n"/>
      <c r="AA75" s="21" t="n"/>
      <c r="AB75" s="21" t="n"/>
      <c r="AC75" s="21" t="n"/>
      <c r="AD75" s="22">
        <f>SUM(E75:AC75)</f>
        <v/>
      </c>
    </row>
    <row r="76">
      <c r="A76" s="12" t="inlineStr">
        <is>
          <t>9</t>
        </is>
      </c>
      <c r="B76" s="13" t="inlineStr">
        <is>
          <t>REDES SANITARIAS</t>
        </is>
      </c>
      <c r="C76" s="14">
        <f>SUM(C77:C87)</f>
        <v/>
      </c>
      <c r="D76" s="15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7" t="inlineStr">
        <is>
          <t>9.1</t>
        </is>
      </c>
      <c r="B77" s="18" t="inlineStr">
        <is>
          <t>SUMINISTRO E INSTALACIÓN DE TUBERÍA SANITARIA PVC Ø 2", INCLUYE ACCESORIOS Y SOPORTES.</t>
        </is>
      </c>
      <c r="C77" s="19" t="n">
        <v>0.001894260180328465</v>
      </c>
      <c r="D77" s="20" t="n">
        <v>7</v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inlineStr">
        <is>
          <t>P</t>
        </is>
      </c>
      <c r="P77" s="21" t="inlineStr">
        <is>
          <t>P</t>
        </is>
      </c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2">
        <f>SUM(E77:AC77)</f>
        <v/>
      </c>
    </row>
    <row r="78">
      <c r="A78" s="17" t="inlineStr">
        <is>
          <t>9.2</t>
        </is>
      </c>
      <c r="B78" s="18" t="inlineStr">
        <is>
          <t>SUMINISTRO E INSTALACIÓN DE TUBERÍA SANITARIA PVC Ø 4", INCLUYE ACCESORIOS Y SOPORTES.</t>
        </is>
      </c>
      <c r="C78" s="19" t="n">
        <v>0.00112899773219522</v>
      </c>
      <c r="D78" s="20" t="n">
        <v>4</v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inlineStr">
        <is>
          <t>P</t>
        </is>
      </c>
      <c r="P78" s="21" t="inlineStr">
        <is>
          <t>P</t>
        </is>
      </c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2">
        <f>SUM(E78:AC78)</f>
        <v/>
      </c>
    </row>
    <row r="79">
      <c r="A79" s="17" t="inlineStr">
        <is>
          <t>9.3</t>
        </is>
      </c>
      <c r="B79" s="18" t="inlineStr">
        <is>
          <t>SUMINISTRO E INSTALACIÓN DE TUBERÍA SANITARIA PVC CORRUGADA TIPO NOVAFORT Ø 6", INCLUYE ACCESORIOS Y SOPORTES.</t>
        </is>
      </c>
      <c r="C79" s="19" t="n">
        <v>0.005868996621092766</v>
      </c>
      <c r="D79" s="20" t="n">
        <v>7</v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inlineStr">
        <is>
          <t>P</t>
        </is>
      </c>
      <c r="P79" s="21" t="inlineStr">
        <is>
          <t>P</t>
        </is>
      </c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2">
        <f>SUM(E79:AC79)</f>
        <v/>
      </c>
    </row>
    <row r="80">
      <c r="A80" s="17" t="inlineStr">
        <is>
          <t>9.4</t>
        </is>
      </c>
      <c r="B80" s="18" t="inlineStr">
        <is>
          <t>SUMINISTRO E INSTALACIÓN DE TUBERÍA DE VENTILACIÓN SANITARIA EN PVC Ø 2", INCLUYE ACCESORIOS Y SOPORTES.</t>
        </is>
      </c>
      <c r="C80" s="19" t="n">
        <v>0.0009638465900215052</v>
      </c>
      <c r="D80" s="20" t="n">
        <v>4</v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inlineStr">
        <is>
          <t>P</t>
        </is>
      </c>
      <c r="P80" s="21" t="inlineStr">
        <is>
          <t>P</t>
        </is>
      </c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2">
        <f>SUM(E80:AC80)</f>
        <v/>
      </c>
    </row>
    <row r="81">
      <c r="A81" s="17" t="inlineStr">
        <is>
          <t>9.5</t>
        </is>
      </c>
      <c r="B81" s="18" t="inlineStr">
        <is>
          <t>EJECUCIÓN DE PUNTO SANITARIO EN PVC Ø 2".</t>
        </is>
      </c>
      <c r="C81" s="19" t="n">
        <v>0.0007848557791501418</v>
      </c>
      <c r="D81" s="20" t="n">
        <v>3</v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inlineStr">
        <is>
          <t>P</t>
        </is>
      </c>
      <c r="P81" s="21" t="inlineStr">
        <is>
          <t>P</t>
        </is>
      </c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2">
        <f>SUM(E81:AC81)</f>
        <v/>
      </c>
    </row>
    <row r="82">
      <c r="A82" s="17" t="inlineStr">
        <is>
          <t>9.6</t>
        </is>
      </c>
      <c r="B82" s="18" t="inlineStr">
        <is>
          <t>EJECUCIÓN DE PUNTO SANITARIO EN PVC Ø 4".</t>
        </is>
      </c>
      <c r="C82" s="19" t="n">
        <v>0.000532633690883332</v>
      </c>
      <c r="D82" s="20" t="n">
        <v>3</v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inlineStr">
        <is>
          <t>P</t>
        </is>
      </c>
      <c r="P82" s="21" t="inlineStr">
        <is>
          <t>P</t>
        </is>
      </c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2">
        <f>SUM(E82:AC82)</f>
        <v/>
      </c>
    </row>
    <row r="83">
      <c r="A83" s="17" t="inlineStr">
        <is>
          <t>9.7</t>
        </is>
      </c>
      <c r="B83" s="18" t="inlineStr">
        <is>
          <t>EJECUCIÓN DE PUNTO SANITARIO SIFONADO EN PVC Ø 2".</t>
        </is>
      </c>
      <c r="C83" s="19" t="n">
        <v>0.0002093336598225373</v>
      </c>
      <c r="D83" s="20" t="n">
        <v>1</v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inlineStr">
        <is>
          <t>P</t>
        </is>
      </c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2">
        <f>SUM(E83:AC83)</f>
        <v/>
      </c>
    </row>
    <row r="84">
      <c r="A84" s="17" t="inlineStr">
        <is>
          <t>9.8</t>
        </is>
      </c>
      <c r="B84" s="18" t="inlineStr">
        <is>
          <t>SUMINISTRO E INSTALACIÓN DE TRAMPA DE GRASAS 40 X 60 CM CON MARCO Y TAPA.</t>
        </is>
      </c>
      <c r="C84" s="19" t="n">
        <v>0.0005181853900295382</v>
      </c>
      <c r="D84" s="20" t="n">
        <v>1</v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inlineStr">
        <is>
          <t>P</t>
        </is>
      </c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2">
        <f>SUM(E84:AC84)</f>
        <v/>
      </c>
    </row>
    <row r="85">
      <c r="A85" s="17" t="inlineStr">
        <is>
          <t>9.9</t>
        </is>
      </c>
      <c r="B85" s="18" t="inlineStr">
        <is>
          <t>SUMINISTRO E INSTALACIÓN DE CAJA DE INSPECCIÓN SANITARIA 60 X 60 CM CON MARCO Y TAPA.</t>
        </is>
      </c>
      <c r="C85" s="19" t="n">
        <v>0.002039004244325535</v>
      </c>
      <c r="D85" s="20" t="n">
        <v>3</v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inlineStr">
        <is>
          <t>P</t>
        </is>
      </c>
      <c r="P85" s="21" t="inlineStr">
        <is>
          <t>P</t>
        </is>
      </c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2">
        <f>SUM(E85:AC85)</f>
        <v/>
      </c>
    </row>
    <row r="86">
      <c r="A86" s="17" t="inlineStr">
        <is>
          <t>9.10</t>
        </is>
      </c>
      <c r="B86" s="18" t="inlineStr">
        <is>
          <t>SUMINISTRO E INSTALACIÓN REGISTRO SANITARIO 1 M ALCANTARILLADO MUNICIPAL Incluye Suministro transporte y construccion de concreto de 3000 psi para muros y losa de fondo de espesor 10cm y seccion 60x60, concreto para tapa de espesor 5 cm y seccion 70x70, tapa con manija en varila de 1/2" y refuerzo en acero G60, losa de fondo y tapa. la excavacion esta en su respectivo item</t>
        </is>
      </c>
      <c r="C86" s="19" t="n">
        <v>0.001628198423364007</v>
      </c>
      <c r="D86" s="20" t="n">
        <v>5</v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inlineStr">
        <is>
          <t>P</t>
        </is>
      </c>
      <c r="P86" s="21" t="inlineStr">
        <is>
          <t>P</t>
        </is>
      </c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2">
        <f>SUM(E86:AC86)</f>
        <v/>
      </c>
    </row>
    <row r="87">
      <c r="A87" s="17" t="inlineStr">
        <is>
          <t>9.11</t>
        </is>
      </c>
      <c r="B87" s="18" t="inlineStr">
        <is>
          <t>SUMINISTRO E INSTALACIÓN DE BRIDA SANITARIA.</t>
        </is>
      </c>
      <c r="C87" s="19" t="n">
        <v>0.0001798194754859195</v>
      </c>
      <c r="D87" s="20" t="n">
        <v>1</v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inlineStr">
        <is>
          <t>P</t>
        </is>
      </c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2">
        <f>SUM(E87:AC87)</f>
        <v/>
      </c>
    </row>
    <row r="88">
      <c r="A88" s="12" t="inlineStr">
        <is>
          <t>10</t>
        </is>
      </c>
      <c r="B88" s="13" t="inlineStr">
        <is>
          <t>REDES PLUVIALES</t>
        </is>
      </c>
      <c r="C88" s="14">
        <f>SUM(C89:C93)</f>
        <v/>
      </c>
      <c r="D88" s="15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7" t="inlineStr">
        <is>
          <t>10.1</t>
        </is>
      </c>
      <c r="B89" s="18" t="inlineStr">
        <is>
          <t>SUMINISTRO E INSTALACIÓN DE TUBERÍA PVC Ø 3" PARA DRENAJE PLUVIAL, INCLUYE CAMA DE ARENA.</t>
        </is>
      </c>
      <c r="C89" s="19" t="n">
        <v>0.001288905389004103</v>
      </c>
      <c r="D89" s="20" t="n">
        <v>15</v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inlineStr">
        <is>
          <t>P</t>
        </is>
      </c>
      <c r="P89" s="21" t="inlineStr">
        <is>
          <t>P</t>
        </is>
      </c>
      <c r="Q89" s="21" t="inlineStr">
        <is>
          <t>P</t>
        </is>
      </c>
      <c r="R89" s="21" t="inlineStr">
        <is>
          <t>P</t>
        </is>
      </c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2">
        <f>SUM(E89:AC89)</f>
        <v/>
      </c>
    </row>
    <row r="90">
      <c r="A90" s="17" t="inlineStr">
        <is>
          <t>10.2</t>
        </is>
      </c>
      <c r="B90" s="18" t="inlineStr">
        <is>
          <t>SUMINISTRO E INSTALACIÓN DE TUBERÍA PVC Ø 4" PARA DRENAJE PLUVIAL, INCLUYE CAMA DE ARENA.</t>
        </is>
      </c>
      <c r="C90" s="19" t="n">
        <v>0.005185438564685622</v>
      </c>
      <c r="D90" s="20" t="n">
        <v>10</v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inlineStr">
        <is>
          <t>P</t>
        </is>
      </c>
      <c r="P90" s="21" t="inlineStr">
        <is>
          <t>P</t>
        </is>
      </c>
      <c r="Q90" s="21" t="inlineStr">
        <is>
          <t>P</t>
        </is>
      </c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2">
        <f>SUM(E90:AC90)</f>
        <v/>
      </c>
    </row>
    <row r="91">
      <c r="A91" s="17" t="inlineStr">
        <is>
          <t>10.3</t>
        </is>
      </c>
      <c r="B91" s="18" t="inlineStr">
        <is>
          <t>SUMINISTRO E INSTALACIÓN DE REJILLA CAPTADORA TIPO DOMO.</t>
        </is>
      </c>
      <c r="C91" s="19" t="n">
        <v>6.052309764494599e-05</v>
      </c>
      <c r="D91" s="20" t="n">
        <v>1</v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inlineStr">
        <is>
          <t>P</t>
        </is>
      </c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2">
        <f>SUM(E91:AC91)</f>
        <v/>
      </c>
    </row>
    <row r="92">
      <c r="A92" s="17" t="inlineStr">
        <is>
          <t>10.4</t>
        </is>
      </c>
      <c r="B92" s="18" t="inlineStr">
        <is>
          <t>SUMINISTRO E INSTALACIÓN DE CÁRCAMO DE RECOLECCIÓN DE AGUAS LLUVIAS DE 0,40 X 0,40 M.</t>
        </is>
      </c>
      <c r="C92" s="19" t="n">
        <v>0.005515361945680941</v>
      </c>
      <c r="D92" s="20" t="n">
        <v>9</v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inlineStr">
        <is>
          <t>P</t>
        </is>
      </c>
      <c r="P92" s="21" t="inlineStr">
        <is>
          <t>P</t>
        </is>
      </c>
      <c r="Q92" s="21" t="inlineStr">
        <is>
          <t>P</t>
        </is>
      </c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2">
        <f>SUM(E92:AC92)</f>
        <v/>
      </c>
    </row>
    <row r="93">
      <c r="A93" s="17" t="inlineStr">
        <is>
          <t>10.5</t>
        </is>
      </c>
      <c r="B93" s="18" t="inlineStr">
        <is>
          <t>SUMINISTRO E INSTALACIÓN DE VIGA CANAL FABRICADA EN LÁMINA GALVANIZADA.</t>
        </is>
      </c>
      <c r="C93" s="19" t="n">
        <v>0.002416113697907891</v>
      </c>
      <c r="D93" s="20" t="n">
        <v>3</v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inlineStr">
        <is>
          <t>P</t>
        </is>
      </c>
      <c r="P93" s="21" t="inlineStr">
        <is>
          <t>P</t>
        </is>
      </c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2">
        <f>SUM(E93:AC93)</f>
        <v/>
      </c>
    </row>
    <row r="94">
      <c r="A94" s="12" t="inlineStr">
        <is>
          <t>11</t>
        </is>
      </c>
      <c r="B94" s="13" t="inlineStr">
        <is>
          <t>DOTACIÓN SANITARIA, GRIFERÍAS Y ACCESORIOS</t>
        </is>
      </c>
      <c r="C94" s="14">
        <f>SUM(C95:C107)</f>
        <v/>
      </c>
      <c r="D94" s="15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7" t="inlineStr">
        <is>
          <t>11.1</t>
        </is>
      </c>
      <c r="B95" s="18" t="inlineStr">
        <is>
          <t>SUMINISTRO E INSTALACIÓN DE GRIFERÍA CON SIFÓN PARA LAVAMANOS DE EMPOTRAR.</t>
        </is>
      </c>
      <c r="C95" s="19" t="n">
        <v>0.0007509573548456028</v>
      </c>
      <c r="D95" s="20" t="n">
        <v>3</v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inlineStr">
        <is>
          <t>P</t>
        </is>
      </c>
      <c r="AA95" s="21" t="n"/>
      <c r="AB95" s="21" t="n"/>
      <c r="AC95" s="21" t="n"/>
      <c r="AD95" s="22">
        <f>SUM(E95:AC95)</f>
        <v/>
      </c>
    </row>
    <row r="96">
      <c r="A96" s="17" t="inlineStr">
        <is>
          <t>11.2</t>
        </is>
      </c>
      <c r="B96" s="18" t="inlineStr">
        <is>
          <t>SUMINISTRO E INSTALACIÓN DE SANITARIO PARA PERSONAS CON MOVILIDAD REDUCIDA, INCLUYE ACCESORIOS DE FIJACIÓN.</t>
        </is>
      </c>
      <c r="C96" s="19" t="n">
        <v>0.001746167147727114</v>
      </c>
      <c r="D96" s="20" t="n">
        <v>2</v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inlineStr">
        <is>
          <t>P</t>
        </is>
      </c>
      <c r="AA96" s="21" t="n"/>
      <c r="AB96" s="21" t="n"/>
      <c r="AC96" s="21" t="n"/>
      <c r="AD96" s="22">
        <f>SUM(E96:AC96)</f>
        <v/>
      </c>
    </row>
    <row r="97">
      <c r="A97" s="17" t="inlineStr">
        <is>
          <t>11.3</t>
        </is>
      </c>
      <c r="B97" s="18" t="inlineStr">
        <is>
          <t>SUMINISTRO E INSTALACIÓN DE SANITARIO CONVENCIONAL, INCLUYE ELEMENTOS DE ANCLAJE Y FIJACIÓN.</t>
        </is>
      </c>
      <c r="C97" s="19" t="n">
        <v>0.001890912703469664</v>
      </c>
      <c r="D97" s="20" t="n">
        <v>3</v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inlineStr">
        <is>
          <t>P</t>
        </is>
      </c>
      <c r="AA97" s="21" t="n"/>
      <c r="AB97" s="21" t="n"/>
      <c r="AC97" s="21" t="n"/>
      <c r="AD97" s="22">
        <f>SUM(E97:AC97)</f>
        <v/>
      </c>
    </row>
    <row r="98">
      <c r="A98" s="17" t="inlineStr">
        <is>
          <t>11.4</t>
        </is>
      </c>
      <c r="B98" s="18" t="inlineStr">
        <is>
          <t>SUMINISTRO E INSTALACIÓN DE FLOTADOR MECÁNICO Ø 1".</t>
        </is>
      </c>
      <c r="C98" s="19" t="n">
        <v>0.000151827617412406</v>
      </c>
      <c r="D98" s="20" t="n">
        <v>1</v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inlineStr">
        <is>
          <t>P</t>
        </is>
      </c>
      <c r="AA98" s="21" t="n"/>
      <c r="AB98" s="21" t="n"/>
      <c r="AC98" s="21" t="n"/>
      <c r="AD98" s="22">
        <f>SUM(E98:AC98)</f>
        <v/>
      </c>
    </row>
    <row r="99">
      <c r="A99" s="17" t="inlineStr">
        <is>
          <t>11.5</t>
        </is>
      </c>
      <c r="B99" s="18" t="inlineStr">
        <is>
          <t>SUMINISTRO E INSTALACIÓN DE REJILLA DE PISO CON SOSCO.</t>
        </is>
      </c>
      <c r="C99" s="19" t="n">
        <v>0.0009582667160507638</v>
      </c>
      <c r="D99" s="20" t="n">
        <v>4</v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inlineStr">
        <is>
          <t>P</t>
        </is>
      </c>
      <c r="AA99" s="21" t="n"/>
      <c r="AB99" s="21" t="n"/>
      <c r="AC99" s="21" t="n"/>
      <c r="AD99" s="22">
        <f>SUM(E99:AC99)</f>
        <v/>
      </c>
    </row>
    <row r="100">
      <c r="A100" s="17" t="inlineStr">
        <is>
          <t>11.6</t>
        </is>
      </c>
      <c r="B100" s="18" t="inlineStr">
        <is>
          <t>SUMINISTRO E INSTALACIÓN DE GRIFERÍA MONOCONTROL TIPO CUELLO DE GANSO PARA POCETA Y LAVAMANOS.</t>
        </is>
      </c>
      <c r="C100" s="19" t="n">
        <v>0.001725268539414562</v>
      </c>
      <c r="D100" s="20" t="n">
        <v>5</v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inlineStr">
        <is>
          <t>P</t>
        </is>
      </c>
      <c r="AA100" s="21" t="inlineStr">
        <is>
          <t>P</t>
        </is>
      </c>
      <c r="AB100" s="21" t="n"/>
      <c r="AC100" s="21" t="n"/>
      <c r="AD100" s="22">
        <f>SUM(E100:AC100)</f>
        <v/>
      </c>
    </row>
    <row r="101">
      <c r="A101" s="17" t="inlineStr">
        <is>
          <t>11.7</t>
        </is>
      </c>
      <c r="B101" s="18" t="inlineStr">
        <is>
          <t>SUMINISTRO E INSTALACIÓN DE BARRA DE APOYO PARA BAÑO ACCESIBLE DE 1,00 M.</t>
        </is>
      </c>
      <c r="C101" s="19" t="n">
        <v>0.001673553452960698</v>
      </c>
      <c r="D101" s="20" t="n">
        <v>3</v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inlineStr">
        <is>
          <t>P</t>
        </is>
      </c>
      <c r="AA101" s="21" t="n"/>
      <c r="AB101" s="21" t="n"/>
      <c r="AC101" s="21" t="n"/>
      <c r="AD101" s="22">
        <f>SUM(E101:AC101)</f>
        <v/>
      </c>
    </row>
    <row r="102">
      <c r="A102" s="17" t="inlineStr">
        <is>
          <t>11.8</t>
        </is>
      </c>
      <c r="B102" s="18" t="inlineStr">
        <is>
          <t>SUMINISTRO E INSTALACIÓN DE ESPEJO PARA BAÑO DE 1,00 X 0,60 M.</t>
        </is>
      </c>
      <c r="C102" s="19" t="n">
        <v>0.0005145432934382896</v>
      </c>
      <c r="D102" s="20" t="n">
        <v>2</v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inlineStr">
        <is>
          <t>P</t>
        </is>
      </c>
      <c r="AA102" s="21" t="n"/>
      <c r="AB102" s="21" t="n"/>
      <c r="AC102" s="21" t="n"/>
      <c r="AD102" s="22">
        <f>SUM(E102:AC102)</f>
        <v/>
      </c>
    </row>
    <row r="103">
      <c r="A103" s="17" t="inlineStr">
        <is>
          <t>11.9</t>
        </is>
      </c>
      <c r="B103" s="18" t="inlineStr">
        <is>
          <t>SUMINISTRO E INSTALACIÓN DE ORINAL CON SUS RESPECTIVOS ACCESORIOS.</t>
        </is>
      </c>
      <c r="C103" s="19" t="n">
        <v>0.00109109247952939</v>
      </c>
      <c r="D103" s="20" t="n">
        <v>3</v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inlineStr">
        <is>
          <t>P</t>
        </is>
      </c>
      <c r="AA103" s="21" t="n"/>
      <c r="AB103" s="21" t="n"/>
      <c r="AC103" s="21" t="n"/>
      <c r="AD103" s="22">
        <f>SUM(E103:AC103)</f>
        <v/>
      </c>
    </row>
    <row r="104">
      <c r="A104" s="17" t="inlineStr">
        <is>
          <t>11.10</t>
        </is>
      </c>
      <c r="B104" s="18" t="inlineStr">
        <is>
          <t>SUMINISTRO E INSTALACIÓN DE LLAVE TERMINAL TIPO JARDÍN.</t>
        </is>
      </c>
      <c r="C104" s="19" t="n">
        <v>0.0002234090243061439</v>
      </c>
      <c r="D104" s="20" t="n">
        <v>2</v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inlineStr">
        <is>
          <t>P</t>
        </is>
      </c>
      <c r="AA104" s="21" t="n"/>
      <c r="AB104" s="21" t="n"/>
      <c r="AC104" s="21" t="n"/>
      <c r="AD104" s="22">
        <f>SUM(E104:AC104)</f>
        <v/>
      </c>
    </row>
    <row r="105">
      <c r="A105" s="17" t="inlineStr">
        <is>
          <t>11.11</t>
        </is>
      </c>
      <c r="B105" s="18" t="inlineStr">
        <is>
          <t>SUMINISTRO E INSTALACIÓN DE POCETA DE COCINA EN ACERO INOXIDABLE.</t>
        </is>
      </c>
      <c r="C105" s="19" t="n">
        <v>0.0002157339938076906</v>
      </c>
      <c r="D105" s="20" t="n">
        <v>1</v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inlineStr">
        <is>
          <t>P</t>
        </is>
      </c>
      <c r="AA105" s="21" t="n"/>
      <c r="AB105" s="21" t="n"/>
      <c r="AC105" s="21" t="n"/>
      <c r="AD105" s="22">
        <f>SUM(E105:AC105)</f>
        <v/>
      </c>
    </row>
    <row r="106">
      <c r="A106" s="17" t="inlineStr">
        <is>
          <t>11.12</t>
        </is>
      </c>
      <c r="B106" s="18" t="inlineStr">
        <is>
          <t>SUMINISTRO E INSTALACIÓN DE LAVAMANOS DE EMPOTRAR.</t>
        </is>
      </c>
      <c r="C106" s="19" t="n">
        <v>0.001677296242371897</v>
      </c>
      <c r="D106" s="20" t="n">
        <v>4</v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inlineStr">
        <is>
          <t>P</t>
        </is>
      </c>
      <c r="AA106" s="21" t="n"/>
      <c r="AB106" s="21" t="n"/>
      <c r="AC106" s="21" t="n"/>
      <c r="AD106" s="22">
        <f>SUM(E106:AC106)</f>
        <v/>
      </c>
    </row>
    <row r="107">
      <c r="A107" s="17" t="inlineStr">
        <is>
          <t>11.13</t>
        </is>
      </c>
      <c r="B107" s="18" t="inlineStr">
        <is>
          <t>SUMINSITRO E INSTALACION DE MESON PARA LAVAMANOS</t>
        </is>
      </c>
      <c r="C107" s="19" t="n">
        <v>0.0007789513013627894</v>
      </c>
      <c r="D107" s="20" t="n">
        <v>5</v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inlineStr">
        <is>
          <t>P</t>
        </is>
      </c>
      <c r="AA107" s="21" t="inlineStr">
        <is>
          <t>P</t>
        </is>
      </c>
      <c r="AB107" s="21" t="n"/>
      <c r="AC107" s="21" t="n"/>
      <c r="AD107" s="22">
        <f>SUM(E107:AC107)</f>
        <v/>
      </c>
    </row>
    <row r="108">
      <c r="A108" s="12" t="inlineStr">
        <is>
          <t>12</t>
        </is>
      </c>
      <c r="B108" s="13" t="inlineStr">
        <is>
          <t>REDES ELÉCTRICAS</t>
        </is>
      </c>
      <c r="C108" s="14">
        <f>SUM(C109:C120)</f>
        <v/>
      </c>
      <c r="D108" s="15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7" t="inlineStr">
        <is>
          <t>12.1</t>
        </is>
      </c>
      <c r="B109" s="18" t="inlineStr">
        <is>
          <t>SUMINISTRO E INSTALACIÓN DE POSTE METÁLICO GALVANIZADO CON BRAZO SENCILLO DE 1,0 M, INCLUYE PLANTILLA DE ANCLAJE.</t>
        </is>
      </c>
      <c r="C109" s="19" t="n">
        <v>0.01839090360515735</v>
      </c>
      <c r="D109" s="20" t="n">
        <v>7</v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inlineStr">
        <is>
          <t>P</t>
        </is>
      </c>
      <c r="W109" s="21" t="inlineStr">
        <is>
          <t>P</t>
        </is>
      </c>
      <c r="X109" s="21" t="n"/>
      <c r="Y109" s="21" t="n"/>
      <c r="Z109" s="21" t="n"/>
      <c r="AA109" s="21" t="n"/>
      <c r="AB109" s="21" t="n"/>
      <c r="AC109" s="21" t="n"/>
      <c r="AD109" s="22">
        <f>SUM(E109:AC109)</f>
        <v/>
      </c>
    </row>
    <row r="110">
      <c r="A110" s="17" t="inlineStr">
        <is>
          <t>12.2</t>
        </is>
      </c>
      <c r="B110" s="18" t="inlineStr">
        <is>
          <t>CONSTRUCCIÓN DE DADO DE CONCRETO DE 3.000 PSI PARA ANCLAJE DE POSTE METÁLICO.</t>
        </is>
      </c>
      <c r="C110" s="19" t="n">
        <v>0.00616492685194552</v>
      </c>
      <c r="D110" s="20" t="n">
        <v>9</v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inlineStr">
        <is>
          <t>P</t>
        </is>
      </c>
      <c r="W110" s="21" t="inlineStr">
        <is>
          <t>P</t>
        </is>
      </c>
      <c r="X110" s="21" t="n"/>
      <c r="Y110" s="21" t="n"/>
      <c r="Z110" s="21" t="n"/>
      <c r="AA110" s="21" t="n"/>
      <c r="AB110" s="21" t="n"/>
      <c r="AC110" s="21" t="n"/>
      <c r="AD110" s="22">
        <f>SUM(E110:AC110)</f>
        <v/>
      </c>
    </row>
    <row r="111">
      <c r="A111" s="17" t="inlineStr">
        <is>
          <t>12.3</t>
        </is>
      </c>
      <c r="B111" s="18" t="inlineStr">
        <is>
          <t>SUMINISTRO E INSTALACIÓN DE TABLERO GENERAL DE DISTRIBUCIÓN CON SISTEMA DE PROTECCIONES.</t>
        </is>
      </c>
      <c r="C111" s="19" t="n">
        <v>0.000609122940408734</v>
      </c>
      <c r="D111" s="20" t="n">
        <v>3</v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inlineStr">
        <is>
          <t>P</t>
        </is>
      </c>
      <c r="W111" s="21" t="n"/>
      <c r="X111" s="21" t="n"/>
      <c r="Y111" s="21" t="n"/>
      <c r="Z111" s="21" t="n"/>
      <c r="AA111" s="21" t="n"/>
      <c r="AB111" s="21" t="n"/>
      <c r="AC111" s="21" t="n"/>
      <c r="AD111" s="22">
        <f>SUM(E111:AC111)</f>
        <v/>
      </c>
    </row>
    <row r="112">
      <c r="A112" s="17" t="inlineStr">
        <is>
          <t>12.4</t>
        </is>
      </c>
      <c r="B112" s="18" t="inlineStr">
        <is>
          <t>SUMINISTRO E INSTALACIÓN DE TABLERO SECUNDARIO DE 8 A 12 CIRCUITOS CON BREAKERS.</t>
        </is>
      </c>
      <c r="C112" s="19" t="n">
        <v>0.0003484926287396829</v>
      </c>
      <c r="D112" s="20" t="n">
        <v>2</v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inlineStr">
        <is>
          <t>P</t>
        </is>
      </c>
      <c r="W112" s="21" t="n"/>
      <c r="X112" s="21" t="n"/>
      <c r="Y112" s="21" t="n"/>
      <c r="Z112" s="21" t="n"/>
      <c r="AA112" s="21" t="n"/>
      <c r="AB112" s="21" t="n"/>
      <c r="AC112" s="21" t="n"/>
      <c r="AD112" s="22">
        <f>SUM(E112:AC112)</f>
        <v/>
      </c>
    </row>
    <row r="113">
      <c r="A113" s="17" t="inlineStr">
        <is>
          <t>12.5</t>
        </is>
      </c>
      <c r="B113" s="18" t="inlineStr">
        <is>
          <t>CONSTRUCCIÓN DE RED ELÉCTRICA SUBTERRÁNEA EN BAJA TENSIÓN CON CONDUCTOR #6 AWG Y DUCTERÍA PVC SCH 40.</t>
        </is>
      </c>
      <c r="C113" s="19" t="n">
        <v>0.001258355933303845</v>
      </c>
      <c r="D113" s="20" t="n">
        <v>2</v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inlineStr">
        <is>
          <t>P</t>
        </is>
      </c>
      <c r="W113" s="21" t="n"/>
      <c r="X113" s="21" t="n"/>
      <c r="Y113" s="21" t="n"/>
      <c r="Z113" s="21" t="n"/>
      <c r="AA113" s="21" t="n"/>
      <c r="AB113" s="21" t="n"/>
      <c r="AC113" s="21" t="n"/>
      <c r="AD113" s="22">
        <f>SUM(E113:AC113)</f>
        <v/>
      </c>
    </row>
    <row r="114">
      <c r="A114" s="17" t="inlineStr">
        <is>
          <t>12.6</t>
        </is>
      </c>
      <c r="B114" s="18" t="inlineStr">
        <is>
          <t>EJECUCIÓN DE SALIDA PARA TOMACORRIENTE NORMAL, INCLUYE APARATO Y ELEMENTOS DE FIJACIÓN.</t>
        </is>
      </c>
      <c r="C114" s="19" t="n">
        <v>0.00149160525667375</v>
      </c>
      <c r="D114" s="20" t="n">
        <v>5</v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inlineStr">
        <is>
          <t>P</t>
        </is>
      </c>
      <c r="W114" s="21" t="inlineStr">
        <is>
          <t>P</t>
        </is>
      </c>
      <c r="X114" s="21" t="n"/>
      <c r="Y114" s="21" t="n"/>
      <c r="Z114" s="21" t="n"/>
      <c r="AA114" s="21" t="n"/>
      <c r="AB114" s="21" t="n"/>
      <c r="AC114" s="21" t="n"/>
      <c r="AD114" s="22">
        <f>SUM(E114:AC114)</f>
        <v/>
      </c>
    </row>
    <row r="115">
      <c r="A115" s="17" t="inlineStr">
        <is>
          <t>12.7</t>
        </is>
      </c>
      <c r="B115" s="18" t="inlineStr">
        <is>
          <t>SUMINISTRO E INSTALACIÓN DE SISTEMA DE PUESTA A TIERRA CON ELECTRODO DE DIFUSIÓN VERTICAL DE 2,40 M.</t>
        </is>
      </c>
      <c r="C115" s="19" t="n">
        <v>0.005754963867180616</v>
      </c>
      <c r="D115" s="20" t="n">
        <v>8</v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inlineStr">
        <is>
          <t>P</t>
        </is>
      </c>
      <c r="W115" s="21" t="inlineStr">
        <is>
          <t>P</t>
        </is>
      </c>
      <c r="X115" s="21" t="n"/>
      <c r="Y115" s="21" t="n"/>
      <c r="Z115" s="21" t="n"/>
      <c r="AA115" s="21" t="n"/>
      <c r="AB115" s="21" t="n"/>
      <c r="AC115" s="21" t="n"/>
      <c r="AD115" s="22">
        <f>SUM(E115:AC115)</f>
        <v/>
      </c>
    </row>
    <row r="116">
      <c r="A116" s="17" t="inlineStr">
        <is>
          <t>12.8</t>
        </is>
      </c>
      <c r="B116" s="18" t="inlineStr">
        <is>
          <t>EJECUCIÓN DE PUNTO DE ILUMINACIÓN INTERIOR 110V CON CONDUCTOR #12 AWG Y CANALIZACIÓN PVC SCH 40.</t>
        </is>
      </c>
      <c r="C116" s="19" t="n">
        <v>0.002679450856339035</v>
      </c>
      <c r="D116" s="20" t="n">
        <v>8</v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inlineStr">
        <is>
          <t>P</t>
        </is>
      </c>
      <c r="W116" s="21" t="inlineStr">
        <is>
          <t>P</t>
        </is>
      </c>
      <c r="X116" s="21" t="n"/>
      <c r="Y116" s="21" t="n"/>
      <c r="Z116" s="21" t="n"/>
      <c r="AA116" s="21" t="n"/>
      <c r="AB116" s="21" t="n"/>
      <c r="AC116" s="21" t="n"/>
      <c r="AD116" s="22">
        <f>SUM(E116:AC116)</f>
        <v/>
      </c>
    </row>
    <row r="117">
      <c r="A117" s="17" t="inlineStr">
        <is>
          <t>12.9</t>
        </is>
      </c>
      <c r="B117" s="18" t="inlineStr">
        <is>
          <t>EJECUCIÓN DE PUNTO PARA INTERRUPTOR SENCILLO CON CONDUCTOR #12 AWG Y CAJA DE CONEXIÓN.</t>
        </is>
      </c>
      <c r="C117" s="19" t="n">
        <v>0.001095896645850142</v>
      </c>
      <c r="D117" s="20" t="n">
        <v>4</v>
      </c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inlineStr">
        <is>
          <t>P</t>
        </is>
      </c>
      <c r="W117" s="21" t="n"/>
      <c r="X117" s="21" t="n"/>
      <c r="Y117" s="21" t="n"/>
      <c r="Z117" s="21" t="n"/>
      <c r="AA117" s="21" t="n"/>
      <c r="AB117" s="21" t="n"/>
      <c r="AC117" s="21" t="n"/>
      <c r="AD117" s="22">
        <f>SUM(E117:AC117)</f>
        <v/>
      </c>
    </row>
    <row r="118">
      <c r="A118" s="17" t="inlineStr">
        <is>
          <t>12.10</t>
        </is>
      </c>
      <c r="B118" s="18" t="inlineStr">
        <is>
          <t>SUMINISTRO E INSTALACIÓN DE PANEL LED REDONDO DE SOBREPONER DE 18W PARA ILUMINACIÓN INTERIOR.</t>
        </is>
      </c>
      <c r="C118" s="19" t="n">
        <v>0.001859099739347212</v>
      </c>
      <c r="D118" s="20" t="n">
        <v>7</v>
      </c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inlineStr">
        <is>
          <t>P</t>
        </is>
      </c>
      <c r="W118" s="21" t="inlineStr">
        <is>
          <t>P</t>
        </is>
      </c>
      <c r="X118" s="21" t="n"/>
      <c r="Y118" s="21" t="n"/>
      <c r="Z118" s="21" t="n"/>
      <c r="AA118" s="21" t="n"/>
      <c r="AB118" s="21" t="n"/>
      <c r="AC118" s="21" t="n"/>
      <c r="AD118" s="22">
        <f>SUM(E118:AC118)</f>
        <v/>
      </c>
    </row>
    <row r="119">
      <c r="A119" s="17" t="inlineStr">
        <is>
          <t>12.11</t>
        </is>
      </c>
      <c r="B119" s="18" t="inlineStr">
        <is>
          <t>EJECUCIÓN DE PUNTO PARA INTERRUPTOR DOBLE O CONMUTABLE CON CANALIZACIÓN PVC SCH 40.</t>
        </is>
      </c>
      <c r="C119" s="19" t="n">
        <v>0.0002368354795056247</v>
      </c>
      <c r="D119" s="20" t="n">
        <v>1</v>
      </c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inlineStr">
        <is>
          <t>P</t>
        </is>
      </c>
      <c r="W119" s="21" t="n"/>
      <c r="X119" s="21" t="n"/>
      <c r="Y119" s="21" t="n"/>
      <c r="Z119" s="21" t="n"/>
      <c r="AA119" s="21" t="n"/>
      <c r="AB119" s="21" t="n"/>
      <c r="AC119" s="21" t="n"/>
      <c r="AD119" s="22">
        <f>SUM(E119:AC119)</f>
        <v/>
      </c>
    </row>
    <row r="120">
      <c r="A120" s="17" t="inlineStr">
        <is>
          <t>12.12</t>
        </is>
      </c>
      <c r="B120" s="18" t="inlineStr">
        <is>
          <t>SUMINISTRO E INSTALACIÓN DE REGISTRO ELÉCTRICO DE 40 X 40 CM.</t>
        </is>
      </c>
      <c r="C120" s="19" t="n">
        <v>0.001253093055247763</v>
      </c>
      <c r="D120" s="20" t="n">
        <v>5</v>
      </c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inlineStr">
        <is>
          <t>P</t>
        </is>
      </c>
      <c r="W120" s="21" t="inlineStr">
        <is>
          <t>P</t>
        </is>
      </c>
      <c r="X120" s="21" t="n"/>
      <c r="Y120" s="21" t="n"/>
      <c r="Z120" s="21" t="n"/>
      <c r="AA120" s="21" t="n"/>
      <c r="AB120" s="21" t="n"/>
      <c r="AC120" s="21" t="n"/>
      <c r="AD120" s="22">
        <f>SUM(E120:AC120)</f>
        <v/>
      </c>
    </row>
    <row r="121">
      <c r="A121" s="12" t="inlineStr">
        <is>
          <t>13</t>
        </is>
      </c>
      <c r="B121" s="13" t="inlineStr">
        <is>
          <t>SISTEMA SOLAR FOTOVOLTAICO</t>
        </is>
      </c>
      <c r="C121" s="14">
        <f>SUM(C122:C131)</f>
        <v/>
      </c>
      <c r="D121" s="15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7" t="inlineStr">
        <is>
          <t>13.1</t>
        </is>
      </c>
      <c r="B122" s="18" t="inlineStr">
        <is>
          <t>SUMINISTRO E INSTALACIÓN DE LUMINARIA SOLAR LED PARA ALUMBRADO EXTERIOR DE 35W, INCLUYE MONTAJE Y CONEXIÓN.</t>
        </is>
      </c>
      <c r="C122" s="19" t="n">
        <v>0.09322397329134009</v>
      </c>
      <c r="D122" s="20" t="n">
        <v>7</v>
      </c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inlineStr">
        <is>
          <t>P</t>
        </is>
      </c>
      <c r="Y122" s="21" t="inlineStr">
        <is>
          <t>P</t>
        </is>
      </c>
      <c r="Z122" s="21" t="n"/>
      <c r="AA122" s="21" t="n"/>
      <c r="AB122" s="21" t="n"/>
      <c r="AC122" s="21" t="n"/>
      <c r="AD122" s="22">
        <f>SUM(E122:AC122)</f>
        <v/>
      </c>
    </row>
    <row r="123">
      <c r="A123" s="17" t="inlineStr">
        <is>
          <t>13.2</t>
        </is>
      </c>
      <c r="B123" s="18" t="inlineStr">
        <is>
          <t>SUMINISTRO E INSTALACIÓN DE REFLECTOR SOLAR LED DE 35W PARA EXTERIORES Y SALA POLIVALENTE.</t>
        </is>
      </c>
      <c r="C123" s="19" t="n">
        <v>0.003321963535843373</v>
      </c>
      <c r="D123" s="20" t="n">
        <v>4</v>
      </c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inlineStr">
        <is>
          <t>P</t>
        </is>
      </c>
      <c r="Y123" s="21" t="inlineStr">
        <is>
          <t>P</t>
        </is>
      </c>
      <c r="Z123" s="21" t="n"/>
      <c r="AA123" s="21" t="n"/>
      <c r="AB123" s="21" t="n"/>
      <c r="AC123" s="21" t="n"/>
      <c r="AD123" s="22">
        <f>SUM(E123:AC123)</f>
        <v/>
      </c>
    </row>
    <row r="124">
      <c r="A124" s="17" t="inlineStr">
        <is>
          <t>13.3</t>
        </is>
      </c>
      <c r="B124" s="18" t="inlineStr">
        <is>
          <t>SUMINISTRO E INSTALACIÓN DE MÓDULO FOTOVOLTAICO DE 630W CON ESTRUCTURA DE SOPORTE.</t>
        </is>
      </c>
      <c r="C124" s="19" t="n">
        <v>0.008295170725110101</v>
      </c>
      <c r="D124" s="20" t="n">
        <v>5</v>
      </c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inlineStr">
        <is>
          <t>P</t>
        </is>
      </c>
      <c r="Y124" s="21" t="inlineStr">
        <is>
          <t>P</t>
        </is>
      </c>
      <c r="Z124" s="21" t="n"/>
      <c r="AA124" s="21" t="n"/>
      <c r="AB124" s="21" t="n"/>
      <c r="AC124" s="21" t="n"/>
      <c r="AD124" s="22">
        <f>SUM(E124:AC124)</f>
        <v/>
      </c>
    </row>
    <row r="125">
      <c r="A125" s="17" t="inlineStr">
        <is>
          <t>13.4</t>
        </is>
      </c>
      <c r="B125" s="18" t="inlineStr">
        <is>
          <t>SUMINISTRO E INSTALACIÓN DE BANCO DE BATERÍAS DE LITIO 200AH - 51.2V, INCLUYE SISTEMA BMS Y CABLEADO.</t>
        </is>
      </c>
      <c r="C125" s="19" t="n">
        <v>0.01218324495804303</v>
      </c>
      <c r="D125" s="20" t="n">
        <v>3</v>
      </c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inlineStr">
        <is>
          <t>P</t>
        </is>
      </c>
      <c r="Y125" s="21" t="inlineStr">
        <is>
          <t>P</t>
        </is>
      </c>
      <c r="Z125" s="21" t="n"/>
      <c r="AA125" s="21" t="n"/>
      <c r="AB125" s="21" t="n"/>
      <c r="AC125" s="21" t="n"/>
      <c r="AD125" s="22">
        <f>SUM(E125:AC125)</f>
        <v/>
      </c>
    </row>
    <row r="126">
      <c r="A126" s="17" t="inlineStr">
        <is>
          <t>13.5</t>
        </is>
      </c>
      <c r="B126" s="18" t="inlineStr">
        <is>
          <t>SUMINISTRO E INSTALACIÓN DE INVERSOR/CARGADOR HÍBRIDO DE 10KW Y 48V.</t>
        </is>
      </c>
      <c r="C126" s="19" t="n">
        <v>0.009407522815358385</v>
      </c>
      <c r="D126" s="20" t="n">
        <v>4</v>
      </c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inlineStr">
        <is>
          <t>P</t>
        </is>
      </c>
      <c r="Y126" s="21" t="inlineStr">
        <is>
          <t>P</t>
        </is>
      </c>
      <c r="Z126" s="21" t="n"/>
      <c r="AA126" s="21" t="n"/>
      <c r="AB126" s="21" t="n"/>
      <c r="AC126" s="21" t="n"/>
      <c r="AD126" s="22">
        <f>SUM(E126:AC126)</f>
        <v/>
      </c>
    </row>
    <row r="127">
      <c r="A127" s="17" t="inlineStr">
        <is>
          <t>13.6</t>
        </is>
      </c>
      <c r="B127" s="18" t="inlineStr">
        <is>
          <t>SUMINISTRO E INSTALACIÓN DE CABLEADO FOTOVOLTAICO DC 4 MM² PARA INTERCONEXIÓN DE STRINGS.</t>
        </is>
      </c>
      <c r="C127" s="19" t="n">
        <v>0.003128686278502876</v>
      </c>
      <c r="D127" s="20" t="n">
        <v>8</v>
      </c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inlineStr">
        <is>
          <t>P</t>
        </is>
      </c>
      <c r="Y127" s="21" t="inlineStr">
        <is>
          <t>P</t>
        </is>
      </c>
      <c r="Z127" s="21" t="inlineStr">
        <is>
          <t>P</t>
        </is>
      </c>
      <c r="AA127" s="21" t="n"/>
      <c r="AB127" s="21" t="n"/>
      <c r="AC127" s="21" t="n"/>
      <c r="AD127" s="22">
        <f>SUM(E127:AC127)</f>
        <v/>
      </c>
    </row>
    <row r="128">
      <c r="A128" s="17" t="inlineStr">
        <is>
          <t>13.7</t>
        </is>
      </c>
      <c r="B128" s="18" t="inlineStr">
        <is>
          <t>SUMINISTRO E INSTALACIÓN DE CABLEADO AC #6 AWG PARA SALIDA DE INVERSOR.</t>
        </is>
      </c>
      <c r="C128" s="19" t="n">
        <v>0.0005843674241557053</v>
      </c>
      <c r="D128" s="20" t="n">
        <v>2</v>
      </c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inlineStr">
        <is>
          <t>P</t>
        </is>
      </c>
      <c r="Y128" s="21" t="inlineStr">
        <is>
          <t>P</t>
        </is>
      </c>
      <c r="Z128" s="21" t="n"/>
      <c r="AA128" s="21" t="n"/>
      <c r="AB128" s="21" t="n"/>
      <c r="AC128" s="21" t="n"/>
      <c r="AD128" s="22">
        <f>SUM(E128:AC128)</f>
        <v/>
      </c>
    </row>
    <row r="129">
      <c r="A129" s="17" t="inlineStr">
        <is>
          <t>13.8</t>
        </is>
      </c>
      <c r="B129" s="18" t="inlineStr">
        <is>
          <t>SUMINISTRO E INSTALACIÓN DE TABLERO DE PROTECCIONES DC/AC EN GABINETE IP65, INCLUYE BREAKERS, DPS Y FUSIBLES.</t>
        </is>
      </c>
      <c r="C129" s="19" t="n">
        <v>0.001881832448728346</v>
      </c>
      <c r="D129" s="20" t="n">
        <v>5</v>
      </c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inlineStr">
        <is>
          <t>P</t>
        </is>
      </c>
      <c r="Y129" s="21" t="inlineStr">
        <is>
          <t>P</t>
        </is>
      </c>
      <c r="Z129" s="21" t="n"/>
      <c r="AA129" s="21" t="n"/>
      <c r="AB129" s="21" t="n"/>
      <c r="AC129" s="21" t="n"/>
      <c r="AD129" s="22">
        <f>SUM(E129:AC129)</f>
        <v/>
      </c>
    </row>
    <row r="130">
      <c r="A130" s="17" t="inlineStr">
        <is>
          <t>13.9</t>
        </is>
      </c>
      <c r="B130" s="18" t="inlineStr">
        <is>
          <t>SUMINISTRO E INSTALACIÓN DE CANALIZACIÓN EN TUBERÍA IMC DE 1-1/4", INCLUYE ACCESORIOS Y SOPORTERÍA.</t>
        </is>
      </c>
      <c r="C130" s="19" t="n">
        <v>0.0007521798402670766</v>
      </c>
      <c r="D130" s="20" t="n">
        <v>2</v>
      </c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inlineStr">
        <is>
          <t>P</t>
        </is>
      </c>
      <c r="Y130" s="21" t="inlineStr">
        <is>
          <t>P</t>
        </is>
      </c>
      <c r="Z130" s="21" t="n"/>
      <c r="AA130" s="21" t="n"/>
      <c r="AB130" s="21" t="n"/>
      <c r="AC130" s="21" t="n"/>
      <c r="AD130" s="22">
        <f>SUM(E130:AC130)</f>
        <v/>
      </c>
    </row>
    <row r="131">
      <c r="A131" s="17" t="inlineStr">
        <is>
          <t>13.10</t>
        </is>
      </c>
      <c r="B131" s="18" t="inlineStr">
        <is>
          <t>SUMINISTRO E INSTALACIÓN DE SENSOR DE MOVIMIENTO PARA BAÑOS.</t>
        </is>
      </c>
      <c r="C131" s="19" t="n">
        <v>9.784060259136148e-05</v>
      </c>
      <c r="D131" s="20" t="n">
        <v>1</v>
      </c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inlineStr">
        <is>
          <t>P</t>
        </is>
      </c>
      <c r="Y131" s="21" t="n"/>
      <c r="Z131" s="21" t="n"/>
      <c r="AA131" s="21" t="n"/>
      <c r="AB131" s="21" t="n"/>
      <c r="AC131" s="21" t="n"/>
      <c r="AD131" s="22">
        <f>SUM(E131:AC131)</f>
        <v/>
      </c>
    </row>
    <row r="132">
      <c r="A132" s="12" t="inlineStr">
        <is>
          <t>14</t>
        </is>
      </c>
      <c r="B132" s="13" t="inlineStr">
        <is>
          <t>EQUIPAMIENTO BIOSALUDABLE</t>
        </is>
      </c>
      <c r="C132" s="14">
        <f>SUM(C133:C138)</f>
        <v/>
      </c>
      <c r="D132" s="15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7" t="inlineStr">
        <is>
          <t>14.1</t>
        </is>
      </c>
      <c r="B133" s="18" t="inlineStr">
        <is>
          <t>Suministro e instalación de Máquina biosaludable BARRAS PARALELAS, instalado bajo sistema de empotramiento. Incluye perforación de plantilla de concreto de 40×40 cm con profundidad de 30–40 cm, suministro de cemento, arena, piedra y agua para relleno, aplome, nivelación y limpieza.</t>
        </is>
      </c>
      <c r="C133" s="19" t="n">
        <v>0.001769048285783582</v>
      </c>
      <c r="D133" s="20" t="n">
        <v>1</v>
      </c>
      <c r="E133" s="21" t="n"/>
      <c r="F133" s="21" t="n"/>
      <c r="G133" s="21" t="n"/>
      <c r="H133" s="21" t="n"/>
      <c r="I133" s="21" t="n"/>
      <c r="J133" s="21" t="n"/>
      <c r="K133" s="21" t="inlineStr">
        <is>
          <t>P</t>
        </is>
      </c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2">
        <f>SUM(E133:AC133)</f>
        <v/>
      </c>
    </row>
    <row r="134">
      <c r="A134" s="17" t="inlineStr">
        <is>
          <t>14.2</t>
        </is>
      </c>
      <c r="B134" s="18" t="inlineStr">
        <is>
          <t>Suministro e instalación de Máquina biosaludable CAMINADOR AÉREO, instalado bajo sistema de empotramiento. Incluye perforación de plantilla de concreto de 40×40 cm con profundidad de 30–40 cm, suministro de cemento, arena, piedra y agua para relleno, aplome, nivelación y limpieza.</t>
        </is>
      </c>
      <c r="C134" s="19" t="n">
        <v>0.001945426304445413</v>
      </c>
      <c r="D134" s="20" t="n">
        <v>1</v>
      </c>
      <c r="E134" s="21" t="n"/>
      <c r="F134" s="21" t="n"/>
      <c r="G134" s="21" t="n"/>
      <c r="H134" s="21" t="n"/>
      <c r="I134" s="21" t="n"/>
      <c r="J134" s="21" t="n"/>
      <c r="K134" s="21" t="inlineStr">
        <is>
          <t>P</t>
        </is>
      </c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2">
        <f>SUM(E134:AC134)</f>
        <v/>
      </c>
    </row>
    <row r="135">
      <c r="A135" s="17" t="inlineStr">
        <is>
          <t>14.3</t>
        </is>
      </c>
      <c r="B135" s="18" t="inlineStr">
        <is>
          <t>Suministro e instalación de Máquina biosaludable PONY, instalado bajo sistema de empotramiento. Incluye perforación de plantilla de concreto de 40×40 cm con profundidad de 30–40 cm, suministro de cemento, arena, piedra y agua para relleno, aplome, nivelación y limpieza.</t>
        </is>
      </c>
      <c r="C135" s="19" t="n">
        <v>0.003712408522738158</v>
      </c>
      <c r="D135" s="20" t="n">
        <v>2</v>
      </c>
      <c r="E135" s="21" t="n"/>
      <c r="F135" s="21" t="n"/>
      <c r="G135" s="21" t="n"/>
      <c r="H135" s="21" t="n"/>
      <c r="I135" s="21" t="n"/>
      <c r="J135" s="21" t="n"/>
      <c r="K135" s="21" t="inlineStr">
        <is>
          <t>P</t>
        </is>
      </c>
      <c r="L135" s="21" t="inlineStr">
        <is>
          <t>P</t>
        </is>
      </c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2">
        <f>SUM(E135:AC135)</f>
        <v/>
      </c>
    </row>
    <row r="136">
      <c r="A136" s="17" t="inlineStr">
        <is>
          <t>14.4</t>
        </is>
      </c>
      <c r="B136" s="18" t="inlineStr">
        <is>
          <t>Suministro e instalación de Máquina biosaludable GIRO DE CADERA TWISTER, instalado bajo sistema de empotramiento. Incluye perforación de plantilla de concreto de 40×40 cm con profundidad de 30–40 cm, suministro de cemento, arena, piedra y agua para relleno, aplome, nivelación y limpieza.</t>
        </is>
      </c>
      <c r="C136" s="19" t="n">
        <v>0.00210755218678417</v>
      </c>
      <c r="D136" s="20" t="n">
        <v>1</v>
      </c>
      <c r="E136" s="21" t="n"/>
      <c r="F136" s="21" t="n"/>
      <c r="G136" s="21" t="n"/>
      <c r="H136" s="21" t="n"/>
      <c r="I136" s="21" t="n"/>
      <c r="J136" s="21" t="n"/>
      <c r="K136" s="21" t="inlineStr">
        <is>
          <t>P</t>
        </is>
      </c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2">
        <f>SUM(E136:AC136)</f>
        <v/>
      </c>
    </row>
    <row r="137">
      <c r="A137" s="17" t="inlineStr">
        <is>
          <t>14.5</t>
        </is>
      </c>
      <c r="B137" s="18" t="inlineStr">
        <is>
          <t>Suministro e instalación de Máquina biosaludable CICLA, instalado bajo sistema de empotramiento. Incluye perforación de plantilla de concreto de 40×40 cm con profundidad de 30–40 cm, suministro de cemento, arena, piedra y agua para relleno, aplome, nivelación y limpieza.</t>
        </is>
      </c>
      <c r="C137" s="19" t="n">
        <v>0.003930744866537015</v>
      </c>
      <c r="D137" s="20" t="n">
        <v>2</v>
      </c>
      <c r="E137" s="21" t="n"/>
      <c r="F137" s="21" t="n"/>
      <c r="G137" s="21" t="n"/>
      <c r="H137" s="21" t="n"/>
      <c r="I137" s="21" t="n"/>
      <c r="J137" s="21" t="n"/>
      <c r="K137" s="21" t="inlineStr">
        <is>
          <t>P</t>
        </is>
      </c>
      <c r="L137" s="21" t="inlineStr">
        <is>
          <t>P</t>
        </is>
      </c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2">
        <f>SUM(E137:AC137)</f>
        <v/>
      </c>
    </row>
    <row r="138">
      <c r="A138" s="17" t="inlineStr">
        <is>
          <t>14.6</t>
        </is>
      </c>
      <c r="B138" s="18" t="inlineStr">
        <is>
          <t>Suministro e instalación de Máquina biosaludable DOBLE SWINGER, instalado bajo sistema de empotramiento. Incluye perforación de plantilla de concreto de 40×40 cm con profundidad de 30–40 cm, suministro de cemento, arena, piedra y agua para relleno, aplome, nivelación y limpieza.</t>
        </is>
      </c>
      <c r="C138" s="19" t="n">
        <v>0.001965372433268507</v>
      </c>
      <c r="D138" s="20" t="n">
        <v>1</v>
      </c>
      <c r="E138" s="21" t="n"/>
      <c r="F138" s="21" t="n"/>
      <c r="G138" s="21" t="n"/>
      <c r="H138" s="21" t="n"/>
      <c r="I138" s="21" t="n"/>
      <c r="J138" s="21" t="n"/>
      <c r="K138" s="21" t="inlineStr">
        <is>
          <t>P</t>
        </is>
      </c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2">
        <f>SUM(E138:AC138)</f>
        <v/>
      </c>
    </row>
    <row r="139">
      <c r="A139" s="12" t="inlineStr">
        <is>
          <t>15</t>
        </is>
      </c>
      <c r="B139" s="13" t="inlineStr">
        <is>
          <t>URBANISMO Y PAISAJISMO</t>
        </is>
      </c>
      <c r="C139" s="14">
        <f>SUM(C140:C143)</f>
        <v/>
      </c>
      <c r="D139" s="15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7" t="inlineStr">
        <is>
          <t>15.1</t>
        </is>
      </c>
      <c r="B140" s="18" t="inlineStr">
        <is>
          <t>SUMINISTRO E INSTALACIÓN DE ANDÉN EN CONCRETO CEPILLADO DE 4.000 PSI Y 15 CM DE ESPESOR.</t>
        </is>
      </c>
      <c r="C140" s="19" t="n">
        <v>0.02588948522703848</v>
      </c>
      <c r="D140" s="20" t="n">
        <v>2</v>
      </c>
      <c r="E140" s="21" t="n"/>
      <c r="F140" s="21" t="n"/>
      <c r="G140" s="21" t="n"/>
      <c r="H140" s="21" t="n"/>
      <c r="I140" s="21" t="n"/>
      <c r="J140" s="21" t="n"/>
      <c r="K140" s="21" t="inlineStr">
        <is>
          <t>P</t>
        </is>
      </c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2">
        <f>SUM(E140:AC140)</f>
        <v/>
      </c>
    </row>
    <row r="141">
      <c r="A141" s="17" t="inlineStr">
        <is>
          <t>15.2</t>
        </is>
      </c>
      <c r="B141" s="18" t="inlineStr">
        <is>
          <t>EJECUCIÓN DE ACTIVIDADES DE EMBELLECIMIENTO Y EMPRADIZACIÓN DE ÁREAS INTERVENIDAS.</t>
        </is>
      </c>
      <c r="C141" s="19" t="n">
        <v>0.0239632576869303</v>
      </c>
      <c r="D141" s="20" t="n">
        <v>10</v>
      </c>
      <c r="E141" s="21" t="n"/>
      <c r="F141" s="21" t="n"/>
      <c r="G141" s="21" t="n"/>
      <c r="H141" s="21" t="n"/>
      <c r="I141" s="21" t="n"/>
      <c r="J141" s="21" t="n"/>
      <c r="K141" s="21" t="inlineStr">
        <is>
          <t>P</t>
        </is>
      </c>
      <c r="L141" s="21" t="inlineStr">
        <is>
          <t>P</t>
        </is>
      </c>
      <c r="M141" s="21" t="inlineStr">
        <is>
          <t>P</t>
        </is>
      </c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2">
        <f>SUM(E141:AC141)</f>
        <v/>
      </c>
    </row>
    <row r="142">
      <c r="A142" s="17" t="inlineStr">
        <is>
          <t>15.3</t>
        </is>
      </c>
      <c r="B142" s="18" t="inlineStr">
        <is>
          <t>SUMINISTRO E INSTALACIÓN DE ÁRBOL NATIVO TIPO CASSIA FISTULA (LLUVIA DE ORO) DE 1,0 A 1,5 M DE ALTURA.</t>
        </is>
      </c>
      <c r="C142" s="19" t="n">
        <v>0.004559221712812985</v>
      </c>
      <c r="D142" s="20" t="n">
        <v>3</v>
      </c>
      <c r="E142" s="21" t="n"/>
      <c r="F142" s="21" t="n"/>
      <c r="G142" s="21" t="n"/>
      <c r="H142" s="21" t="n"/>
      <c r="I142" s="21" t="n"/>
      <c r="J142" s="21" t="n"/>
      <c r="K142" s="21" t="inlineStr">
        <is>
          <t>P</t>
        </is>
      </c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2">
        <f>SUM(E142:AC142)</f>
        <v/>
      </c>
    </row>
    <row r="143">
      <c r="A143" s="17" t="inlineStr">
        <is>
          <t>15.4</t>
        </is>
      </c>
      <c r="B143" s="18" t="inlineStr">
        <is>
          <t>SUMINISTRO E INSTALACIÓN DE BANCAS PARA ESPACIO PÚBLICO.</t>
        </is>
      </c>
      <c r="C143" s="19" t="n">
        <v>0.009317878608310999</v>
      </c>
      <c r="D143" s="20" t="n">
        <v>2</v>
      </c>
      <c r="E143" s="21" t="n"/>
      <c r="F143" s="21" t="n"/>
      <c r="G143" s="21" t="n"/>
      <c r="H143" s="21" t="n"/>
      <c r="I143" s="21" t="n"/>
      <c r="J143" s="21" t="n"/>
      <c r="K143" s="21" t="inlineStr">
        <is>
          <t>P</t>
        </is>
      </c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2">
        <f>SUM(E143:AC143)</f>
        <v/>
      </c>
    </row>
    <row r="144">
      <c r="A144" s="12" t="inlineStr">
        <is>
          <t>16</t>
        </is>
      </c>
      <c r="B144" s="13" t="inlineStr">
        <is>
          <t>LIMPIEZA FINAL DE OBRA</t>
        </is>
      </c>
      <c r="C144" s="14">
        <f>SUM(C145:C145)</f>
        <v/>
      </c>
      <c r="D144" s="15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7" t="inlineStr">
        <is>
          <t>16.1</t>
        </is>
      </c>
      <c r="B145" s="18" t="inlineStr">
        <is>
          <t>EJECUCIÓN DE ASEO GENERAL, LIMPIEZA Y RETIRO DE SOBRANTES PARA ENTREGA FINAL DEL PROYECTO.</t>
        </is>
      </c>
      <c r="C145" s="19" t="n">
        <v>0.005592855139914888</v>
      </c>
      <c r="D145" s="20" t="n">
        <v>12</v>
      </c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inlineStr">
        <is>
          <t>P</t>
        </is>
      </c>
      <c r="AB145" s="21" t="inlineStr">
        <is>
          <t>P</t>
        </is>
      </c>
      <c r="AC145" s="21" t="inlineStr">
        <is>
          <t>P</t>
        </is>
      </c>
      <c r="AD145" s="22">
        <f>SUM(E145:AC145)</f>
        <v/>
      </c>
    </row>
    <row r="147">
      <c r="B147" s="23" t="inlineStr">
        <is>
          <t>% AVANCE EJECUTADO SEMANAL</t>
        </is>
      </c>
      <c r="E147" s="24">
        <f>SUMPRODUCT($C$7:$C$145,E7:E145)</f>
        <v/>
      </c>
      <c r="F147" s="24">
        <f>SUMPRODUCT($C$7:$C$145,F7:F145)</f>
        <v/>
      </c>
      <c r="G147" s="24">
        <f>SUMPRODUCT($C$7:$C$145,G7:G145)</f>
        <v/>
      </c>
      <c r="H147" s="24">
        <f>SUMPRODUCT($C$7:$C$145,H7:H145)</f>
        <v/>
      </c>
      <c r="I147" s="24">
        <f>SUMPRODUCT($C$7:$C$145,I7:I145)</f>
        <v/>
      </c>
      <c r="J147" s="24">
        <f>SUMPRODUCT($C$7:$C$145,J7:J145)</f>
        <v/>
      </c>
      <c r="K147" s="24">
        <f>SUMPRODUCT($C$7:$C$145,K7:K145)</f>
        <v/>
      </c>
      <c r="L147" s="24">
        <f>SUMPRODUCT($C$7:$C$145,L7:L145)</f>
        <v/>
      </c>
      <c r="M147" s="24">
        <f>SUMPRODUCT($C$7:$C$145,M7:M145)</f>
        <v/>
      </c>
      <c r="N147" s="24">
        <f>SUMPRODUCT($C$7:$C$145,N7:N145)</f>
        <v/>
      </c>
      <c r="O147" s="24">
        <f>SUMPRODUCT($C$7:$C$145,O7:O145)</f>
        <v/>
      </c>
      <c r="P147" s="24">
        <f>SUMPRODUCT($C$7:$C$145,P7:P145)</f>
        <v/>
      </c>
      <c r="Q147" s="24">
        <f>SUMPRODUCT($C$7:$C$145,Q7:Q145)</f>
        <v/>
      </c>
      <c r="R147" s="24">
        <f>SUMPRODUCT($C$7:$C$145,R7:R145)</f>
        <v/>
      </c>
      <c r="S147" s="24">
        <f>SUMPRODUCT($C$7:$C$145,S7:S145)</f>
        <v/>
      </c>
      <c r="T147" s="24">
        <f>SUMPRODUCT($C$7:$C$145,T7:T145)</f>
        <v/>
      </c>
      <c r="U147" s="24">
        <f>SUMPRODUCT($C$7:$C$145,U7:U145)</f>
        <v/>
      </c>
      <c r="V147" s="24">
        <f>SUMPRODUCT($C$7:$C$145,V7:V145)</f>
        <v/>
      </c>
      <c r="W147" s="24">
        <f>SUMPRODUCT($C$7:$C$145,W7:W145)</f>
        <v/>
      </c>
      <c r="X147" s="24">
        <f>SUMPRODUCT($C$7:$C$145,X7:X145)</f>
        <v/>
      </c>
      <c r="Y147" s="24">
        <f>SUMPRODUCT($C$7:$C$145,Y7:Y145)</f>
        <v/>
      </c>
      <c r="Z147" s="24">
        <f>SUMPRODUCT($C$7:$C$145,Z7:Z145)</f>
        <v/>
      </c>
      <c r="AA147" s="24">
        <f>SUMPRODUCT($C$7:$C$145,AA7:AA145)</f>
        <v/>
      </c>
      <c r="AB147" s="24">
        <f>SUMPRODUCT($C$7:$C$145,AB7:AB145)</f>
        <v/>
      </c>
      <c r="AC147" s="24">
        <f>SUMPRODUCT($C$7:$C$145,AC7:AC145)</f>
        <v/>
      </c>
    </row>
    <row r="148">
      <c r="B148" s="23" t="inlineStr">
        <is>
          <t>% AVANCE EJECUTADO ACUMULADO</t>
        </is>
      </c>
      <c r="E148" s="24">
        <f>E147</f>
        <v/>
      </c>
      <c r="F148" s="24">
        <f>E148+F147</f>
        <v/>
      </c>
      <c r="G148" s="24">
        <f>F148+G147</f>
        <v/>
      </c>
      <c r="H148" s="24">
        <f>G148+H147</f>
        <v/>
      </c>
      <c r="I148" s="24">
        <f>H148+I147</f>
        <v/>
      </c>
      <c r="J148" s="24">
        <f>I148+J147</f>
        <v/>
      </c>
      <c r="K148" s="24">
        <f>J148+K147</f>
        <v/>
      </c>
      <c r="L148" s="24">
        <f>K148+L147</f>
        <v/>
      </c>
      <c r="M148" s="24">
        <f>L148+M147</f>
        <v/>
      </c>
      <c r="N148" s="24">
        <f>M148+N147</f>
        <v/>
      </c>
      <c r="O148" s="24">
        <f>N148+O147</f>
        <v/>
      </c>
      <c r="P148" s="24">
        <f>O148+P147</f>
        <v/>
      </c>
      <c r="Q148" s="24">
        <f>P148+Q147</f>
        <v/>
      </c>
      <c r="R148" s="24">
        <f>Q148+R147</f>
        <v/>
      </c>
      <c r="S148" s="24">
        <f>R148+S147</f>
        <v/>
      </c>
      <c r="T148" s="24">
        <f>S148+T147</f>
        <v/>
      </c>
      <c r="U148" s="24">
        <f>T148+U147</f>
        <v/>
      </c>
      <c r="V148" s="24">
        <f>U148+V147</f>
        <v/>
      </c>
      <c r="W148" s="24">
        <f>V148+W147</f>
        <v/>
      </c>
      <c r="X148" s="24">
        <f>W148+X147</f>
        <v/>
      </c>
      <c r="Y148" s="24">
        <f>X148+Y147</f>
        <v/>
      </c>
      <c r="Z148" s="24">
        <f>Y148+Z147</f>
        <v/>
      </c>
      <c r="AA148" s="24">
        <f>Z148+AA147</f>
        <v/>
      </c>
      <c r="AB148" s="24">
        <f>AA148+AB147</f>
        <v/>
      </c>
      <c r="AC148" s="24">
        <f>AB148+AC147</f>
        <v/>
      </c>
      <c r="AD148" s="25">
        <f>MAX(E148:AC148)</f>
        <v/>
      </c>
    </row>
    <row r="149">
      <c r="B149" s="23" t="inlineStr">
        <is>
          <t>% AVANCE PROGRAMADO SEMANAL (LÍNEA BASE)</t>
        </is>
      </c>
      <c r="E149" s="24" t="n">
        <v>0.002382311565774134</v>
      </c>
      <c r="F149" s="24" t="n">
        <v>0.004640837567155562</v>
      </c>
      <c r="G149" s="24" t="n">
        <v>0.01295631415649645</v>
      </c>
      <c r="H149" s="24" t="n">
        <v>0.01764782905974209</v>
      </c>
      <c r="I149" s="24" t="n">
        <v>0.01648804562067233</v>
      </c>
      <c r="J149" s="24" t="n">
        <v>0.02519193987508428</v>
      </c>
      <c r="K149" s="24" t="n">
        <v>0.07541910010781293</v>
      </c>
      <c r="L149" s="24" t="n">
        <v>0.03434983605859502</v>
      </c>
      <c r="M149" s="24" t="n">
        <v>0.02003410981529835</v>
      </c>
      <c r="N149" s="24" t="n">
        <v>0.0149819674563707</v>
      </c>
      <c r="O149" s="24" t="n">
        <v>0.02857673381784588</v>
      </c>
      <c r="P149" s="24" t="n">
        <v>0.07768505455318526</v>
      </c>
      <c r="Q149" s="24" t="n">
        <v>0.04809914053492616</v>
      </c>
      <c r="R149" s="24" t="n">
        <v>0.0693229330050578</v>
      </c>
      <c r="S149" s="24" t="n">
        <v>0.06494241547363515</v>
      </c>
      <c r="T149" s="24" t="n">
        <v>0.06258403049965429</v>
      </c>
      <c r="U149" s="24" t="n">
        <v>0.06052050055978449</v>
      </c>
      <c r="V149" s="24" t="n">
        <v>0.06881950213589981</v>
      </c>
      <c r="W149" s="24" t="n">
        <v>0.05383426486115903</v>
      </c>
      <c r="X149" s="24" t="n">
        <v>0.05179025604940525</v>
      </c>
      <c r="Y149" s="24" t="n">
        <v>0.1489288743837325</v>
      </c>
      <c r="Z149" s="24" t="n">
        <v>0.03471030373464231</v>
      </c>
      <c r="AA149" s="24" t="n">
        <v>0.002831200276453342</v>
      </c>
      <c r="AB149" s="24" t="n">
        <v>0.002330356308297872</v>
      </c>
      <c r="AC149" s="24" t="n">
        <v>0.0009321425233191497</v>
      </c>
    </row>
    <row r="150">
      <c r="B150" s="23" t="inlineStr">
        <is>
          <t>% AVANCE PROGRAMADO ACUMULADO (LÍNEA BASE)</t>
        </is>
      </c>
      <c r="E150" s="24" t="n">
        <v>0.002382311565774134</v>
      </c>
      <c r="F150" s="24" t="n">
        <v>0.007023149132929696</v>
      </c>
      <c r="G150" s="24" t="n">
        <v>0.01997946328942615</v>
      </c>
      <c r="H150" s="24" t="n">
        <v>0.03762729234916823</v>
      </c>
      <c r="I150" s="24" t="n">
        <v>0.05411533796984056</v>
      </c>
      <c r="J150" s="24" t="n">
        <v>0.07930727784492485</v>
      </c>
      <c r="K150" s="24" t="n">
        <v>0.1547263779527378</v>
      </c>
      <c r="L150" s="24" t="n">
        <v>0.1890762140113328</v>
      </c>
      <c r="M150" s="24" t="n">
        <v>0.2091103238266311</v>
      </c>
      <c r="N150" s="24" t="n">
        <v>0.2240922912830018</v>
      </c>
      <c r="O150" s="24" t="n">
        <v>0.2526690251008477</v>
      </c>
      <c r="P150" s="24" t="n">
        <v>0.330354079654033</v>
      </c>
      <c r="Q150" s="24" t="n">
        <v>0.3784532201889591</v>
      </c>
      <c r="R150" s="24" t="n">
        <v>0.4477761531940169</v>
      </c>
      <c r="S150" s="24" t="n">
        <v>0.5127185686676521</v>
      </c>
      <c r="T150" s="24" t="n">
        <v>0.5753025991673064</v>
      </c>
      <c r="U150" s="24" t="n">
        <v>0.6358230997270909</v>
      </c>
      <c r="V150" s="24" t="n">
        <v>0.7046426018629908</v>
      </c>
      <c r="W150" s="24" t="n">
        <v>0.7584768667241498</v>
      </c>
      <c r="X150" s="24" t="n">
        <v>0.8102671227735551</v>
      </c>
      <c r="Y150" s="24" t="n">
        <v>0.9591959971572875</v>
      </c>
      <c r="Z150" s="24" t="n">
        <v>0.9939063008919299</v>
      </c>
      <c r="AA150" s="24" t="n">
        <v>0.9967375011683832</v>
      </c>
      <c r="AB150" s="24" t="n">
        <v>0.9990678574766811</v>
      </c>
      <c r="AC150" s="24" t="n">
        <v>1</v>
      </c>
    </row>
  </sheetData>
  <mergeCells count="4">
    <mergeCell ref="E3:N3"/>
    <mergeCell ref="O4:P4"/>
    <mergeCell ref="O3:P3"/>
    <mergeCell ref="E4:N4"/>
  </mergeCells>
  <conditionalFormatting sqref="E7:AC145">
    <cfRule type="expression" priority="1" dxfId="0">
      <formula>UPPER(TRIM(E7))="P"</formula>
    </cfRule>
    <cfRule type="expression" priority="2" dxfId="1">
      <formula>AND(ISNUMBER(E7),E7&gt;0)</formula>
    </cfRule>
  </conditionalFormatting>
  <conditionalFormatting sqref="AD7:AD145">
    <cfRule type="expression" priority="3" dxfId="2">
      <formula>AD7&gt;1.0001</formula>
    </cfRule>
  </conditionalFormatting>
  <dataValidations count="1">
    <dataValidation sqref="E7:AC145" showDropDown="0" showInputMessage="0" showErrorMessage="1" allowBlank="1" errorTitle="Valor no válido" error="Escriba el avance de la semana (por ejemplo 25%) o la letra P para programado." type="custom">
      <formula1>OR(E7="",UPPER(TRIM(E7))="P",AND(ISNUMBER(E7),E7&gt;=0,E7&lt;=1))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NMH Engineering S.A.S.</dc:creator>
  <dc:title xmlns:dc="http://purl.org/dc/elements/1.1/">Cronograma ejecutado</dc:title>
  <dcterms:created xmlns:dcterms="http://purl.org/dc/terms/" xmlns:xsi="http://www.w3.org/2001/XMLSchema-instance" xsi:type="dcterms:W3CDTF">2026-10-29T14:09:17Z</dcterms:created>
  <dcterms:modified xmlns:dcterms="http://purl.org/dc/terms/" xmlns:xsi="http://www.w3.org/2001/XMLSchema-instance" xsi:type="dcterms:W3CDTF">2026-10-29T14:09:17Z</dcterms:modified>
</cp:coreProperties>
</file>