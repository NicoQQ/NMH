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EJECUTADO" sheetId="1" state="visible" r:id="rId1"/>
  </sheets>
  <definedNames>
    <definedName name="_xlnm.Print_Titles" localSheetId="0">'CRONOGRAMA EJECUTADO'!$5:$6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yyyy-mm-dd h:mm:ss"/>
    <numFmt numFmtId="166" formatCode="dd/mm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32D46"/>
      <sz val="10"/>
    </font>
    <font>
      <name val="Arial"/>
      <b val="1"/>
      <color rgb="00132D46"/>
      <sz val="14"/>
    </font>
    <font>
      <name val="Arial"/>
      <b val="1"/>
      <color rgb="00132D46"/>
      <sz val="9"/>
    </font>
    <font>
      <name val="Arial"/>
      <b val="1"/>
      <color rgb="00132D46"/>
      <sz val="11"/>
    </font>
    <font>
      <name val="Arial"/>
      <color rgb="00132D46"/>
      <sz val="9"/>
    </font>
    <font>
      <name val="Arial"/>
      <color rgb="0052667A"/>
      <sz val="8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132D46"/>
      </patternFill>
    </fill>
    <fill>
      <patternFill patternType="solid">
        <fgColor rgb="00E3E9EF"/>
      </patternFill>
    </fill>
    <fill>
      <patternFill patternType="solid">
        <fgColor rgb="00EAF1F5"/>
      </patternFill>
    </fill>
  </fills>
  <borders count="2">
    <border>
      <left/>
      <right/>
      <top/>
      <bottom/>
      <diagonal/>
    </border>
    <border>
      <left style="thin">
        <color rgb="00D5DDE2"/>
      </left>
      <right style="thin">
        <color rgb="00D5DDE2"/>
      </right>
      <top style="thin">
        <color rgb="00D5DDE2"/>
      </top>
      <bottom style="thin">
        <color rgb="00D5DDE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164" fontId="5" fillId="2" borderId="0" applyAlignment="1" pivotButton="0" quotePrefix="0" xfId="0">
      <alignment horizontal="left"/>
    </xf>
    <xf numFmtId="9" fontId="3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4" fontId="3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49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10" fontId="7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4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7" fontId="5" fillId="5" borderId="1" applyAlignment="1" pivotButton="0" quotePrefix="0" xfId="0">
      <alignment horizontal="center" vertical="center"/>
    </xf>
    <xf numFmtId="167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1F4E85"/>
      </font>
      <fill>
        <patternFill patternType="solid">
          <fgColor rgb="00D3E1F1"/>
          <bgColor rgb="00D3E1F1"/>
        </patternFill>
      </fill>
    </dxf>
    <dxf>
      <font>
        <b val="1"/>
        <color rgb="00FFFFFF"/>
      </font>
      <fill>
        <patternFill patternType="solid">
          <fgColor rgb="0000A577"/>
          <bgColor rgb="0000A577"/>
        </patternFill>
      </fill>
    </dxf>
    <dxf>
      <font>
        <b val="1"/>
        <color rgb="009B1C1C"/>
      </font>
      <fill>
        <patternFill patternType="solid">
          <fgColor rgb="00F8D7D3"/>
          <b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54"/>
  <sheetViews>
    <sheetView zoomScale="9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2" customWidth="1" min="2" max="2"/>
    <col width="9" customWidth="1" min="3" max="3"/>
    <col width="7" customWidth="1" min="4" max="4"/>
    <col width="6.4" customWidth="1" min="5" max="5"/>
    <col width="6.4" customWidth="1" min="6" max="6"/>
    <col width="6.4" customWidth="1" min="7" max="7"/>
    <col width="6.4" customWidth="1" min="8" max="8"/>
    <col width="6.4" customWidth="1" min="9" max="9"/>
    <col width="6.4" customWidth="1" min="10" max="10"/>
    <col width="6.4" customWidth="1" min="11" max="11"/>
    <col width="6.4" customWidth="1" min="12" max="12"/>
    <col width="6.4" customWidth="1" min="13" max="13"/>
    <col width="6.4" customWidth="1" min="14" max="14"/>
    <col width="6.4" customWidth="1" min="15" max="15"/>
    <col width="6.4" customWidth="1" min="16" max="16"/>
    <col width="6.4" customWidth="1" min="17" max="17"/>
    <col width="6.4" customWidth="1" min="18" max="18"/>
    <col width="8" customWidth="1" min="19" max="19"/>
  </cols>
  <sheetData>
    <row r="1" ht="24" customHeight="1">
      <c r="A1" s="1" t="inlineStr">
        <is>
          <t>NMH ENGINEERING S.A.S.</t>
        </is>
      </c>
      <c r="B1" s="2" t="inlineStr">
        <is>
          <t>CRONOGRAMA DE OBRA — EJECUTADO</t>
        </is>
      </c>
    </row>
    <row r="2">
      <c r="A2" s="3" t="inlineStr">
        <is>
          <t>PROYECTO</t>
        </is>
      </c>
      <c r="B2" s="4" t="inlineStr">
        <is>
          <t>MUNICIPIO DE PONEDERA — ATLÁNTICO</t>
        </is>
      </c>
    </row>
    <row r="3">
      <c r="A3" s="3" t="inlineStr">
        <is>
          <t>FECHA DE CORTE</t>
        </is>
      </c>
      <c r="B3" s="5" t="n"/>
      <c r="E3" s="3" t="inlineStr">
        <is>
          <t>META DE AVANCE (% DEL ALCANCE TOTAL)</t>
        </is>
      </c>
      <c r="O3" s="6" t="n">
        <v>0.45</v>
      </c>
    </row>
    <row r="4" ht="34" customHeight="1">
      <c r="A4" s="3" t="inlineStr">
        <is>
          <t>CÓMO SE LLENA</t>
        </is>
      </c>
      <c r="B4" s="7" t="inlineStr">
        <is>
          <t>Número = avance ejecutado del ítem en esa semana (25 = 25%). P = semana programada. Fecha de corte vacía = última semana con avance. Guarde el archivo con el mismo nombre y súbalo a GitHub: la página se actualiza sola.</t>
        </is>
      </c>
      <c r="E4" s="3" t="inlineStr">
        <is>
          <t>FECHA DE LA META</t>
        </is>
      </c>
      <c r="O4" s="8" t="n">
        <v>46333</v>
      </c>
    </row>
    <row r="5">
      <c r="B5" s="9" t="inlineStr">
        <is>
          <t>SEMANA DEL</t>
        </is>
      </c>
      <c r="E5" s="10" t="n">
        <v>46268</v>
      </c>
      <c r="F5" s="10" t="n">
        <v>46275</v>
      </c>
      <c r="G5" s="10" t="n">
        <v>46282</v>
      </c>
      <c r="H5" s="10" t="n">
        <v>46289</v>
      </c>
      <c r="I5" s="10" t="n">
        <v>46296</v>
      </c>
      <c r="J5" s="10" t="n">
        <v>46303</v>
      </c>
      <c r="K5" s="10" t="n">
        <v>46310</v>
      </c>
      <c r="L5" s="10" t="n">
        <v>46317</v>
      </c>
      <c r="M5" s="10" t="n">
        <v>46324</v>
      </c>
      <c r="N5" s="10" t="n">
        <v>46331</v>
      </c>
      <c r="O5" s="10" t="n">
        <v>46338</v>
      </c>
      <c r="P5" s="10" t="n">
        <v>46345</v>
      </c>
      <c r="Q5" s="10" t="n">
        <v>46352</v>
      </c>
      <c r="R5" s="10" t="n">
        <v>46359</v>
      </c>
    </row>
    <row r="6" ht="26" customHeight="1">
      <c r="A6" s="11" t="inlineStr">
        <is>
          <t>ÍTEM</t>
        </is>
      </c>
      <c r="B6" s="11" t="inlineStr">
        <is>
          <t>ACTIVIDAD</t>
        </is>
      </c>
      <c r="C6" s="11" t="inlineStr">
        <is>
          <t>% INC.</t>
        </is>
      </c>
      <c r="D6" s="11" t="inlineStr">
        <is>
          <t>DUR (días)</t>
        </is>
      </c>
      <c r="E6" s="11" t="inlineStr">
        <is>
          <t>S1</t>
        </is>
      </c>
      <c r="F6" s="11" t="inlineStr">
        <is>
          <t>S2</t>
        </is>
      </c>
      <c r="G6" s="11" t="inlineStr">
        <is>
          <t>S3</t>
        </is>
      </c>
      <c r="H6" s="11" t="inlineStr">
        <is>
          <t>S4</t>
        </is>
      </c>
      <c r="I6" s="11" t="inlineStr">
        <is>
          <t>S5</t>
        </is>
      </c>
      <c r="J6" s="11" t="inlineStr">
        <is>
          <t>S6</t>
        </is>
      </c>
      <c r="K6" s="11" t="inlineStr">
        <is>
          <t>S7</t>
        </is>
      </c>
      <c r="L6" s="11" t="inlineStr">
        <is>
          <t>S8</t>
        </is>
      </c>
      <c r="M6" s="11" t="inlineStr">
        <is>
          <t>S9</t>
        </is>
      </c>
      <c r="N6" s="11" t="inlineStr">
        <is>
          <t>S10</t>
        </is>
      </c>
      <c r="O6" s="11" t="inlineStr">
        <is>
          <t>S11</t>
        </is>
      </c>
      <c r="P6" s="11" t="inlineStr">
        <is>
          <t>S12</t>
        </is>
      </c>
      <c r="Q6" s="11" t="inlineStr">
        <is>
          <t>S13</t>
        </is>
      </c>
      <c r="R6" s="11" t="inlineStr">
        <is>
          <t>S14</t>
        </is>
      </c>
      <c r="S6" s="11" t="inlineStr">
        <is>
          <t>Σ EJEC.</t>
        </is>
      </c>
    </row>
    <row r="7">
      <c r="A7" s="12" t="inlineStr">
        <is>
          <t>1</t>
        </is>
      </c>
      <c r="B7" s="13" t="inlineStr">
        <is>
          <t>OBRAS PRELIMINARES</t>
        </is>
      </c>
      <c r="C7" s="14">
        <f>SUM(C8:C8)</f>
        <v/>
      </c>
      <c r="D7" s="15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</row>
    <row r="8">
      <c r="A8" s="17" t="inlineStr">
        <is>
          <t>1.1</t>
        </is>
      </c>
      <c r="B8" s="18" t="inlineStr">
        <is>
          <t>EJECUCIÓN DEL TRAZADO, LOCALIZACIÓN Y REPLANTEO GENERAL DEL PROYECTO.</t>
        </is>
      </c>
      <c r="C8" s="19" t="n">
        <v>0.005432798387048396</v>
      </c>
      <c r="D8" s="20" t="n">
        <v>6</v>
      </c>
      <c r="E8" s="21" t="inlineStr">
        <is>
          <t>P</t>
        </is>
      </c>
      <c r="F8" s="21" t="n"/>
      <c r="G8" s="21" t="n"/>
      <c r="H8" s="21" t="n">
        <v>1</v>
      </c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2">
        <f>SUM(E8:R8)</f>
        <v/>
      </c>
    </row>
    <row r="9">
      <c r="A9" s="12" t="inlineStr">
        <is>
          <t>2</t>
        </is>
      </c>
      <c r="B9" s="13" t="inlineStr">
        <is>
          <t>TRAZADO Y REPLANTEO</t>
        </is>
      </c>
      <c r="C9" s="14">
        <f>SUM(C10:C14)</f>
        <v/>
      </c>
      <c r="D9" s="15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</row>
    <row r="10">
      <c r="A10" s="17" t="inlineStr">
        <is>
          <t>2.1</t>
        </is>
      </c>
      <c r="B10" s="18" t="inlineStr">
        <is>
          <t>EJECUCIÓN DE EXCAVACIÓN MANUAL EN MATERIAL COMÚN SIN CLASIFICAR.</t>
        </is>
      </c>
      <c r="C10" s="19" t="n">
        <v>0.005519322869781505</v>
      </c>
      <c r="D10" s="20" t="n">
        <v>11</v>
      </c>
      <c r="E10" s="21" t="n"/>
      <c r="F10" s="21" t="inlineStr">
        <is>
          <t>P</t>
        </is>
      </c>
      <c r="G10" s="21" t="inlineStr">
        <is>
          <t>P</t>
        </is>
      </c>
      <c r="H10" s="21" t="n">
        <v>0.35</v>
      </c>
      <c r="I10" s="21" t="n">
        <v>0.65</v>
      </c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2">
        <f>SUM(E10:R10)</f>
        <v/>
      </c>
    </row>
    <row r="11">
      <c r="A11" s="17" t="inlineStr">
        <is>
          <t>2.2</t>
        </is>
      </c>
      <c r="B11" s="18" t="inlineStr">
        <is>
          <t>CONSTRUCCIÓN DE SUBBASE GRANULAR PARA EL MEJORAMIENTO DE LA ESTRUCTURA DEL PAVIMENTO ASFÁLTICO EN FRÍO DE LA PISTA DE TROTE.</t>
        </is>
      </c>
      <c r="C11" s="19" t="n">
        <v>0.004555988443754177</v>
      </c>
      <c r="D11" s="20" t="n">
        <v>4</v>
      </c>
      <c r="E11" s="21" t="n"/>
      <c r="F11" s="21" t="inlineStr">
        <is>
          <t>P</t>
        </is>
      </c>
      <c r="G11" s="21" t="n"/>
      <c r="H11" s="21" t="n"/>
      <c r="I11" s="21" t="n">
        <v>1</v>
      </c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2">
        <f>SUM(E11:R11)</f>
        <v/>
      </c>
    </row>
    <row r="12">
      <c r="A12" s="17" t="inlineStr">
        <is>
          <t>2.3</t>
        </is>
      </c>
      <c r="B12" s="18" t="inlineStr">
        <is>
          <t>EJECUCIÓN DE RELLENO COMPACTADO CON MATERIAL SELECCIONADO PROVENIENTE DE LAS EXCAVACIONES DE CIMENTACIÓN.</t>
        </is>
      </c>
      <c r="C12" s="19" t="n">
        <v>0.003821772159577073</v>
      </c>
      <c r="D12" s="20" t="n">
        <v>8</v>
      </c>
      <c r="E12" s="21" t="n"/>
      <c r="F12" s="21" t="inlineStr">
        <is>
          <t>P</t>
        </is>
      </c>
      <c r="G12" s="21" t="inlineStr">
        <is>
          <t>P</t>
        </is>
      </c>
      <c r="H12" s="21" t="n"/>
      <c r="I12" s="21" t="n"/>
      <c r="J12" s="21" t="n"/>
      <c r="K12" s="21" t="n">
        <v>0.22</v>
      </c>
      <c r="L12" s="21" t="n"/>
      <c r="M12" s="21" t="n"/>
      <c r="N12" s="21" t="n"/>
      <c r="O12" s="21" t="n"/>
      <c r="P12" s="21" t="n"/>
      <c r="Q12" s="21" t="n"/>
      <c r="R12" s="21" t="n"/>
      <c r="S12" s="22">
        <f>SUM(E12:R12)</f>
        <v/>
      </c>
    </row>
    <row r="13">
      <c r="A13" s="17" t="inlineStr">
        <is>
          <t>2.4</t>
        </is>
      </c>
      <c r="B13" s="18" t="inlineStr">
        <is>
          <t>SUMINISTRO, EXTENDIDO Y COMPACTACIÓN DE BASE GRANULAR PARA SOPORTE DEL PAVIMENTO ASFÁLTICO EN FRÍO DE LA PISTA DE TROTE.</t>
        </is>
      </c>
      <c r="C13" s="19" t="n">
        <v>0.005039379539392669</v>
      </c>
      <c r="D13" s="20" t="n">
        <v>5</v>
      </c>
      <c r="E13" s="21" t="n"/>
      <c r="F13" s="21" t="inlineStr">
        <is>
          <t>P</t>
        </is>
      </c>
      <c r="G13" s="21" t="n"/>
      <c r="H13" s="21" t="n"/>
      <c r="I13" s="21" t="n">
        <v>1</v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2">
        <f>SUM(E13:R13)</f>
        <v/>
      </c>
    </row>
    <row r="14">
      <c r="A14" s="17" t="inlineStr">
        <is>
          <t>2.5</t>
        </is>
      </c>
      <c r="B14" s="18" t="inlineStr">
        <is>
          <t>EJECUCIÓN DE RELLENO COMPACTADO CON MATERIAL SELECCIONADO PARA EL ÁREA DE ESPARCIMIENTO.</t>
        </is>
      </c>
      <c r="C14" s="19" t="n">
        <v>0.02108445756121083</v>
      </c>
      <c r="D14" s="20" t="n">
        <v>21</v>
      </c>
      <c r="E14" s="21" t="n"/>
      <c r="F14" s="21" t="inlineStr">
        <is>
          <t>P</t>
        </is>
      </c>
      <c r="G14" s="21" t="inlineStr">
        <is>
          <t>P</t>
        </is>
      </c>
      <c r="H14" s="21" t="inlineStr">
        <is>
          <t>P</t>
        </is>
      </c>
      <c r="I14" s="21" t="n">
        <v>1</v>
      </c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2">
        <f>SUM(E14:R14)</f>
        <v/>
      </c>
    </row>
    <row r="15">
      <c r="A15" s="12" t="inlineStr">
        <is>
          <t>3</t>
        </is>
      </c>
      <c r="B15" s="13" t="inlineStr">
        <is>
          <t>ESTRUCTURAS</t>
        </is>
      </c>
      <c r="C15" s="14">
        <f>SUM(C16:C32)</f>
        <v/>
      </c>
      <c r="D15" s="15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</row>
    <row r="16">
      <c r="A16" s="17" t="inlineStr">
        <is>
          <t>3.1</t>
        </is>
      </c>
      <c r="B16" s="18" t="inlineStr">
        <is>
          <t>SUMINISTRO Y COLOCACIÓN DE CONCRETO DE 2.000 PSI, ELABORADO EN OBRA, PARA CAPAS DE LIMPIEZA O SOLADOS.</t>
        </is>
      </c>
      <c r="C16" s="19" t="n">
        <v>0.005102424506371652</v>
      </c>
      <c r="D16" s="20" t="n">
        <v>7</v>
      </c>
      <c r="E16" s="21" t="n"/>
      <c r="F16" s="21" t="n"/>
      <c r="G16" s="21" t="inlineStr">
        <is>
          <t>P</t>
        </is>
      </c>
      <c r="H16" s="21" t="inlineStr">
        <is>
          <t>P</t>
        </is>
      </c>
      <c r="I16" s="21" t="n">
        <v>1</v>
      </c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2">
        <f>SUM(E16:R16)</f>
        <v/>
      </c>
    </row>
    <row r="17">
      <c r="A17" s="17" t="inlineStr">
        <is>
          <t>3.2</t>
        </is>
      </c>
      <c r="B17" s="18" t="inlineStr">
        <is>
          <t>SUMINISTRO E INSTALACIÓN DE ZAPATAS AISLADAS EN CONCRETO DE 3.000 PSI, FABRICADO EN OBRA.</t>
        </is>
      </c>
      <c r="C17" s="19" t="n">
        <v>0.02524842738623858</v>
      </c>
      <c r="D17" s="20" t="n">
        <v>8</v>
      </c>
      <c r="E17" s="21" t="n"/>
      <c r="F17" s="21" t="n"/>
      <c r="G17" s="21" t="n"/>
      <c r="H17" s="21" t="n"/>
      <c r="I17" s="21" t="inlineStr">
        <is>
          <t>P</t>
        </is>
      </c>
      <c r="J17" s="21" t="n">
        <v>1</v>
      </c>
      <c r="K17" s="21" t="n"/>
      <c r="L17" s="21" t="n"/>
      <c r="M17" s="21" t="n"/>
      <c r="N17" s="21" t="n"/>
      <c r="O17" s="21" t="n"/>
      <c r="P17" s="21" t="n"/>
      <c r="Q17" s="21" t="n"/>
      <c r="R17" s="21" t="n"/>
      <c r="S17" s="22">
        <f>SUM(E17:R17)</f>
        <v/>
      </c>
    </row>
    <row r="18">
      <c r="A18" s="17" t="inlineStr">
        <is>
          <t>3.3</t>
        </is>
      </c>
      <c r="B18" s="18" t="inlineStr">
        <is>
          <t>SUMINISTRO E INSTALACIÓN DE VIGAS DE CIMENTACIÓN EN CONCRETO DE 3.000 PSI, FABRICADO EN OBRA.</t>
        </is>
      </c>
      <c r="C18" s="19" t="n">
        <v>0.01797000118086388</v>
      </c>
      <c r="D18" s="20" t="n">
        <v>7</v>
      </c>
      <c r="E18" s="21" t="n"/>
      <c r="F18" s="21" t="n"/>
      <c r="G18" s="21" t="n"/>
      <c r="H18" s="21" t="n"/>
      <c r="I18" s="21" t="n"/>
      <c r="J18" s="21" t="n">
        <v>0.61</v>
      </c>
      <c r="K18" s="21" t="inlineStr">
        <is>
          <t>P</t>
        </is>
      </c>
      <c r="L18" s="21" t="n"/>
      <c r="M18" s="21" t="n"/>
      <c r="N18" s="21" t="n"/>
      <c r="O18" s="21" t="n"/>
      <c r="P18" s="21" t="n"/>
      <c r="Q18" s="21" t="n"/>
      <c r="R18" s="21" t="n"/>
      <c r="S18" s="22">
        <f>SUM(E18:R18)</f>
        <v/>
      </c>
    </row>
    <row r="19">
      <c r="A19" s="17" t="inlineStr">
        <is>
          <t>3.4</t>
        </is>
      </c>
      <c r="B19" s="18" t="inlineStr">
        <is>
          <t>SUMINISTRO E INSTALACIÓN DE COLUMNAS EN CONCRETO DE 3.000 PSI FABRICADO EN OBRA.</t>
        </is>
      </c>
      <c r="C19" s="19" t="n">
        <v>0.0229642499563934</v>
      </c>
      <c r="D19" s="20" t="n">
        <v>7</v>
      </c>
      <c r="E19" s="21" t="n"/>
      <c r="F19" s="21" t="n"/>
      <c r="G19" s="21" t="n"/>
      <c r="H19" s="21" t="n"/>
      <c r="I19" s="21" t="n"/>
      <c r="J19" s="21" t="n">
        <v>0.06</v>
      </c>
      <c r="K19" s="21" t="n">
        <v>0.33</v>
      </c>
      <c r="L19" s="21" t="inlineStr">
        <is>
          <t>P</t>
        </is>
      </c>
      <c r="M19" s="21" t="n"/>
      <c r="N19" s="21" t="n"/>
      <c r="O19" s="21" t="n"/>
      <c r="P19" s="21" t="n"/>
      <c r="Q19" s="21" t="n"/>
      <c r="R19" s="21" t="n"/>
      <c r="S19" s="22">
        <f>SUM(E19:R19)</f>
        <v/>
      </c>
    </row>
    <row r="20">
      <c r="A20" s="17" t="inlineStr">
        <is>
          <t>3.5</t>
        </is>
      </c>
      <c r="B20" s="18" t="inlineStr">
        <is>
          <t>SUMINISTRO E INSTALACIÓN DE VIGAS AÉREAS EN CONCRETO DE 3.000 PSI FABRICADO EN OBRA.</t>
        </is>
      </c>
      <c r="C20" s="19" t="n">
        <v>0.02676567766045471</v>
      </c>
      <c r="D20" s="20" t="n">
        <v>8</v>
      </c>
      <c r="E20" s="21" t="n"/>
      <c r="F20" s="21" t="n"/>
      <c r="G20" s="21" t="n"/>
      <c r="H20" s="21" t="n"/>
      <c r="I20" s="21" t="n"/>
      <c r="J20" s="21" t="n"/>
      <c r="K20" s="21" t="n"/>
      <c r="L20" s="21" t="inlineStr">
        <is>
          <t>P</t>
        </is>
      </c>
      <c r="M20" s="21" t="inlineStr">
        <is>
          <t>P</t>
        </is>
      </c>
      <c r="N20" s="21" t="inlineStr">
        <is>
          <t>P</t>
        </is>
      </c>
      <c r="O20" s="21" t="n"/>
      <c r="P20" s="21" t="n"/>
      <c r="Q20" s="21" t="n"/>
      <c r="R20" s="21" t="n"/>
      <c r="S20" s="22">
        <f>SUM(E20:R20)</f>
        <v/>
      </c>
    </row>
    <row r="21">
      <c r="A21" s="17" t="inlineStr">
        <is>
          <t>3.6</t>
        </is>
      </c>
      <c r="B21" s="18" t="inlineStr">
        <is>
          <t>CORTE, FIGURADO Y COLOCACIÓN DE ACERO CORRUGADO PDR-60, FY=420 MPA, PARA ZAPATAS.</t>
        </is>
      </c>
      <c r="C21" s="19" t="n">
        <v>0.008239813429656073</v>
      </c>
      <c r="D21" s="20" t="n">
        <v>7</v>
      </c>
      <c r="E21" s="21" t="n"/>
      <c r="F21" s="21" t="n"/>
      <c r="G21" s="21" t="n"/>
      <c r="H21" s="21" t="n"/>
      <c r="I21" s="21" t="n">
        <v>0.38</v>
      </c>
      <c r="J21" s="21" t="n">
        <v>0.62</v>
      </c>
      <c r="K21" s="21" t="n"/>
      <c r="L21" s="21" t="n"/>
      <c r="M21" s="21" t="n"/>
      <c r="N21" s="21" t="n"/>
      <c r="O21" s="21" t="n"/>
      <c r="P21" s="21" t="n"/>
      <c r="Q21" s="21" t="n"/>
      <c r="R21" s="21" t="n"/>
      <c r="S21" s="22">
        <f>SUM(E21:R21)</f>
        <v/>
      </c>
    </row>
    <row r="22">
      <c r="A22" s="17" t="inlineStr">
        <is>
          <t>3.7</t>
        </is>
      </c>
      <c r="B22" s="18" t="inlineStr">
        <is>
          <t>CORTE, FIGURADO Y COLOCACIÓN DE ACERO CORRUGADO PDR-60, FY=420 MPA, PARA VIGAS DE CIMENTACIÓN.</t>
        </is>
      </c>
      <c r="C22" s="19" t="n">
        <v>0.01223069778603962</v>
      </c>
      <c r="D22" s="20" t="n">
        <v>8</v>
      </c>
      <c r="E22" s="21" t="n"/>
      <c r="F22" s="21" t="n"/>
      <c r="G22" s="21" t="n"/>
      <c r="H22" s="21" t="n"/>
      <c r="I22" s="21" t="n"/>
      <c r="J22" s="21" t="n">
        <v>1</v>
      </c>
      <c r="K22" s="21" t="inlineStr">
        <is>
          <t>P</t>
        </is>
      </c>
      <c r="L22" s="21" t="n"/>
      <c r="M22" s="21" t="n"/>
      <c r="N22" s="21" t="n"/>
      <c r="O22" s="21" t="n"/>
      <c r="P22" s="21" t="n"/>
      <c r="Q22" s="21" t="n"/>
      <c r="R22" s="21" t="n"/>
      <c r="S22" s="22">
        <f>SUM(E22:R22)</f>
        <v/>
      </c>
    </row>
    <row r="23">
      <c r="A23" s="17" t="inlineStr">
        <is>
          <t>3.8</t>
        </is>
      </c>
      <c r="B23" s="18" t="inlineStr">
        <is>
          <t>CORTE, FIGURADO Y COLOCACIÓN DE ACERO CORRUGADO PDR-60, FY=420 MPA, PARA COLUMNAS.</t>
        </is>
      </c>
      <c r="C23" s="19" t="n">
        <v>0.016985353051448</v>
      </c>
      <c r="D23" s="20" t="n">
        <v>9</v>
      </c>
      <c r="E23" s="21" t="n"/>
      <c r="F23" s="21" t="n"/>
      <c r="G23" s="21" t="n"/>
      <c r="H23" s="21" t="n"/>
      <c r="I23" s="21" t="n">
        <v>0.0057</v>
      </c>
      <c r="J23" s="21" t="n">
        <v>0.9943</v>
      </c>
      <c r="K23" s="21" t="inlineStr">
        <is>
          <t>P</t>
        </is>
      </c>
      <c r="L23" s="21" t="inlineStr">
        <is>
          <t>P</t>
        </is>
      </c>
      <c r="M23" s="21" t="inlineStr">
        <is>
          <t>P</t>
        </is>
      </c>
      <c r="N23" s="21" t="n"/>
      <c r="O23" s="21" t="n"/>
      <c r="P23" s="21" t="n"/>
      <c r="Q23" s="21" t="n"/>
      <c r="R23" s="21" t="n"/>
      <c r="S23" s="22">
        <f>SUM(E23:R23)</f>
        <v/>
      </c>
    </row>
    <row r="24">
      <c r="A24" s="17" t="inlineStr">
        <is>
          <t>3.9</t>
        </is>
      </c>
      <c r="B24" s="18" t="inlineStr">
        <is>
          <t>CORTE, FIGURADO Y COLOCACIÓN DE ACERO CORRUGADO PDR-60, FY=420 MPA, PARA VIGAS AÉREAS.</t>
        </is>
      </c>
      <c r="C24" s="19" t="n">
        <v>0.01825692280093712</v>
      </c>
      <c r="D24" s="20" t="n">
        <v>10</v>
      </c>
      <c r="E24" s="21" t="n"/>
      <c r="F24" s="21" t="n"/>
      <c r="G24" s="21" t="n"/>
      <c r="H24" s="21" t="n"/>
      <c r="I24" s="21" t="n"/>
      <c r="J24" s="21" t="n"/>
      <c r="K24" s="21" t="n"/>
      <c r="L24" s="21" t="inlineStr">
        <is>
          <t>P</t>
        </is>
      </c>
      <c r="M24" s="21" t="inlineStr">
        <is>
          <t>P</t>
        </is>
      </c>
      <c r="N24" s="21" t="inlineStr">
        <is>
          <t>P</t>
        </is>
      </c>
      <c r="O24" s="21" t="n"/>
      <c r="P24" s="21" t="n"/>
      <c r="Q24" s="21" t="n"/>
      <c r="R24" s="21" t="n"/>
      <c r="S24" s="22">
        <f>SUM(E24:R24)</f>
        <v/>
      </c>
    </row>
    <row r="25">
      <c r="A25" s="17" t="inlineStr">
        <is>
          <t>3.10</t>
        </is>
      </c>
      <c r="B25" s="18" t="inlineStr">
        <is>
          <t>SUMINISTRO E INSTALACIÓN DE PLACA PARA TANQUE EN CONCRETO DE 7,5 CM DE ESPESOR, REFORZADA CON MALLA ELECTROSOLDADA XX-295.</t>
        </is>
      </c>
      <c r="C25" s="19" t="n">
        <v>0.0001324673477583218</v>
      </c>
      <c r="D25" s="20" t="n">
        <v>1</v>
      </c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inlineStr">
        <is>
          <t>P</t>
        </is>
      </c>
      <c r="O25" s="21" t="n"/>
      <c r="P25" s="21" t="n"/>
      <c r="Q25" s="21" t="n"/>
      <c r="R25" s="21" t="n"/>
      <c r="S25" s="22">
        <f>SUM(E25:R25)</f>
        <v/>
      </c>
    </row>
    <row r="26">
      <c r="A26" s="17" t="inlineStr">
        <is>
          <t>3.11</t>
        </is>
      </c>
      <c r="B26" s="18" t="inlineStr">
        <is>
          <t>SUMINISTRO E INSTALACIÓN DE CONTRAPISO EN CONCRETO DE 4.000 PSI PREMEZCLADO, DE 15 CM DE ESPESOR, REFORZADO CON MALLA ELECTROSOLDADA XX-295.</t>
        </is>
      </c>
      <c r="C26" s="19" t="n">
        <v>0.0495450539967643</v>
      </c>
      <c r="D26" s="20" t="n">
        <v>8</v>
      </c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inlineStr">
        <is>
          <t>P</t>
        </is>
      </c>
      <c r="N26" s="21" t="inlineStr">
        <is>
          <t>P</t>
        </is>
      </c>
      <c r="O26" s="21" t="n"/>
      <c r="P26" s="21" t="n"/>
      <c r="Q26" s="21" t="n"/>
      <c r="R26" s="21" t="n"/>
      <c r="S26" s="22">
        <f>SUM(E26:R26)</f>
        <v/>
      </c>
    </row>
    <row r="27">
      <c r="A27" s="17" t="inlineStr">
        <is>
          <t>3.12</t>
        </is>
      </c>
      <c r="B27" s="18" t="inlineStr">
        <is>
          <t>SUMINISTRO E INSTALACIÓN DE VIGA DE CONFINAMIENTO PARA ADOQUÍN, CON REFUERZO INCLUIDO.</t>
        </is>
      </c>
      <c r="C27" s="19" t="n">
        <v>0.01047246435461018</v>
      </c>
      <c r="D27" s="20" t="n">
        <v>6</v>
      </c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inlineStr">
        <is>
          <t>P</t>
        </is>
      </c>
      <c r="P27" s="21" t="inlineStr">
        <is>
          <t>P</t>
        </is>
      </c>
      <c r="Q27" s="21" t="n"/>
      <c r="R27" s="21" t="n"/>
      <c r="S27" s="22">
        <f>SUM(E27:R27)</f>
        <v/>
      </c>
    </row>
    <row r="28">
      <c r="A28" s="17" t="inlineStr">
        <is>
          <t>3.13</t>
        </is>
      </c>
      <c r="B28" s="18" t="inlineStr">
        <is>
          <t>SUMINISTRO E INSTALACIÓN DE VIGA DE CONFINAMIENTO PARA PAVIMENTO ASFÁLTICO, CON REFUERZO INCLUIDO.</t>
        </is>
      </c>
      <c r="C28" s="19" t="n">
        <v>0.03226436875401612</v>
      </c>
      <c r="D28" s="20" t="n">
        <v>8</v>
      </c>
      <c r="E28" s="21" t="n"/>
      <c r="F28" s="21" t="inlineStr">
        <is>
          <t>P</t>
        </is>
      </c>
      <c r="G28" s="21" t="inlineStr">
        <is>
          <t>P</t>
        </is>
      </c>
      <c r="H28" s="21" t="inlineStr">
        <is>
          <t>P</t>
        </is>
      </c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2">
        <f>SUM(E28:R28)</f>
        <v/>
      </c>
    </row>
    <row r="29">
      <c r="A29" s="17" t="inlineStr">
        <is>
          <t>3.14</t>
        </is>
      </c>
      <c r="B29" s="18" t="inlineStr">
        <is>
          <t>SUMINISTRO E INSTALACIÓN DE DE PAVIMENTO PEATONAL EN ADOQUÍN, INCLUYE CAMA DE ARENA, SELLO DE JUNTAS, COMPACTACIÓN Y LIMPIEZA FINAL.</t>
        </is>
      </c>
      <c r="C29" s="19" t="n">
        <v>0.01890584466720033</v>
      </c>
      <c r="D29" s="20" t="n">
        <v>8</v>
      </c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inlineStr">
        <is>
          <t>P</t>
        </is>
      </c>
      <c r="Q29" s="21" t="inlineStr">
        <is>
          <t>P</t>
        </is>
      </c>
      <c r="R29" s="21" t="n"/>
      <c r="S29" s="22">
        <f>SUM(E29:R29)</f>
        <v/>
      </c>
    </row>
    <row r="30">
      <c r="A30" s="17" t="inlineStr">
        <is>
          <t>3.15</t>
        </is>
      </c>
      <c r="B30" s="18" t="inlineStr">
        <is>
          <t>SUMINISTRO Y COLOCACIÓN DE CARPETA ASFÁLTICA EN FRÍO TIPO MDF-19.</t>
        </is>
      </c>
      <c r="C30" s="19" t="n">
        <v>0.02696839813506404</v>
      </c>
      <c r="D30" s="20" t="n">
        <v>5</v>
      </c>
      <c r="E30" s="21" t="n"/>
      <c r="F30" s="21" t="n"/>
      <c r="G30" s="21" t="n"/>
      <c r="H30" s="21" t="inlineStr">
        <is>
          <t>P</t>
        </is>
      </c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2">
        <f>SUM(E30:R30)</f>
        <v/>
      </c>
    </row>
    <row r="31">
      <c r="A31" s="17" t="inlineStr">
        <is>
          <t>3.16</t>
        </is>
      </c>
      <c r="B31" s="18" t="inlineStr">
        <is>
          <t>SUMINISTRO Y COLOCACIÓN DE LOSETAS PODOTÁCTILES PARA ACCESIBILIDAD PEATONAL.</t>
        </is>
      </c>
      <c r="C31" s="19" t="n">
        <v>0.01247737282948849</v>
      </c>
      <c r="D31" s="20" t="n">
        <v>6</v>
      </c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inlineStr">
        <is>
          <t>P</t>
        </is>
      </c>
      <c r="P31" s="21" t="inlineStr">
        <is>
          <t>P</t>
        </is>
      </c>
      <c r="Q31" s="21" t="n"/>
      <c r="R31" s="21" t="n"/>
      <c r="S31" s="22">
        <f>SUM(E31:R31)</f>
        <v/>
      </c>
    </row>
    <row r="32">
      <c r="A32" s="17" t="inlineStr">
        <is>
          <t>3.17</t>
        </is>
      </c>
      <c r="B32" s="18" t="inlineStr">
        <is>
          <t>SUMINISTRO, INSTALACIÓN Y EMPOTRAMIENTO EN CONCRETO DE BOLARDO EN HIERRO NODULAR ASTM A536, CON ACABADO PINTADO.</t>
        </is>
      </c>
      <c r="C32" s="19" t="n">
        <v>0.0008693398999718041</v>
      </c>
      <c r="D32" s="20" t="n">
        <v>1</v>
      </c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inlineStr">
        <is>
          <t>P</t>
        </is>
      </c>
      <c r="R32" s="21" t="n"/>
      <c r="S32" s="22">
        <f>SUM(E32:R32)</f>
        <v/>
      </c>
    </row>
    <row r="33">
      <c r="A33" s="12" t="inlineStr">
        <is>
          <t>4</t>
        </is>
      </c>
      <c r="B33" s="13" t="inlineStr">
        <is>
          <t>MAMPOSTERÍA</t>
        </is>
      </c>
      <c r="C33" s="14">
        <f>SUM(C34:C40)</f>
        <v/>
      </c>
      <c r="D33" s="15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</row>
    <row r="34">
      <c r="A34" s="17" t="inlineStr">
        <is>
          <t>4.1</t>
        </is>
      </c>
      <c r="B34" s="18" t="inlineStr">
        <is>
          <t>SUMINISTRO E INSTALACIÓN DE MURO EN MAMPOSTERÍA LISA DE 12 CM DE ESPESOR, INCLUYE ACERO PARA DOVELAS.</t>
        </is>
      </c>
      <c r="C34" s="19" t="n">
        <v>0.04081988856401335</v>
      </c>
      <c r="D34" s="20" t="n">
        <v>7</v>
      </c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inlineStr">
        <is>
          <t>P</t>
        </is>
      </c>
      <c r="O34" s="21" t="inlineStr">
        <is>
          <t>P</t>
        </is>
      </c>
      <c r="P34" s="21" t="n"/>
      <c r="Q34" s="21" t="n"/>
      <c r="R34" s="21" t="n"/>
      <c r="S34" s="22">
        <f>SUM(E34:R34)</f>
        <v/>
      </c>
    </row>
    <row r="35">
      <c r="A35" s="17" t="inlineStr">
        <is>
          <t>4.2</t>
        </is>
      </c>
      <c r="B35" s="18" t="inlineStr">
        <is>
          <t>SUMINISTRO Y APLICACIÓN DE MORTERO 1:4 PARA NIVELACIÓN Y PREPARACIÓN DE PISOS, CON ESPESOR DE 4 CM.</t>
        </is>
      </c>
      <c r="C35" s="19" t="n">
        <v>0.005381192870098205</v>
      </c>
      <c r="D35" s="20" t="n">
        <v>5</v>
      </c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inlineStr">
        <is>
          <t>P</t>
        </is>
      </c>
      <c r="O35" s="21" t="inlineStr">
        <is>
          <t>P</t>
        </is>
      </c>
      <c r="P35" s="21" t="n"/>
      <c r="Q35" s="21" t="n"/>
      <c r="R35" s="21" t="n"/>
      <c r="S35" s="22">
        <f>SUM(E35:R35)</f>
        <v/>
      </c>
    </row>
    <row r="36">
      <c r="A36" s="17" t="inlineStr">
        <is>
          <t>4.3</t>
        </is>
      </c>
      <c r="B36" s="18" t="inlineStr">
        <is>
          <t>SUMINISTRO Y APLICACIÓN DE REPELLO LISO EN MORTERO 1:4 SOBRE MUROS, INCLUYE FORMACIÓN DE FILOS Y JUNTAS DE DILATACIÓN.</t>
        </is>
      </c>
      <c r="C36" s="19" t="n">
        <v>0.003197123144298723</v>
      </c>
      <c r="D36" s="20" t="n">
        <v>5</v>
      </c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inlineStr">
        <is>
          <t>P</t>
        </is>
      </c>
      <c r="O36" s="21" t="inlineStr">
        <is>
          <t>P</t>
        </is>
      </c>
      <c r="P36" s="21" t="n"/>
      <c r="Q36" s="21" t="n"/>
      <c r="R36" s="21" t="n"/>
      <c r="S36" s="22">
        <f>SUM(E36:R36)</f>
        <v/>
      </c>
    </row>
    <row r="37">
      <c r="A37" s="17" t="inlineStr">
        <is>
          <t>4.4</t>
        </is>
      </c>
      <c r="B37" s="18" t="inlineStr">
        <is>
          <t>SUMINISTRO Y APLICACIÓN DE REPELLO LISO IMPERMEABILIZADO EN MORTERO 1:4 SOBRE MUROS, INCLUYE FORMACIÓN DE FILOS Y JUNTAS DE DILATACIÓN.</t>
        </is>
      </c>
      <c r="C37" s="19" t="n">
        <v>0.01356804276776546</v>
      </c>
      <c r="D37" s="20" t="n">
        <v>8</v>
      </c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inlineStr">
        <is>
          <t>P</t>
        </is>
      </c>
      <c r="O37" s="21" t="inlineStr">
        <is>
          <t>P</t>
        </is>
      </c>
      <c r="P37" s="21" t="n"/>
      <c r="Q37" s="21" t="n"/>
      <c r="R37" s="21" t="n"/>
      <c r="S37" s="22">
        <f>SUM(E37:R37)</f>
        <v/>
      </c>
    </row>
    <row r="38">
      <c r="A38" s="17" t="inlineStr">
        <is>
          <t>4.5</t>
        </is>
      </c>
      <c r="B38" s="18" t="inlineStr">
        <is>
          <t>SUMINISTRO E INSTALACIÓN DE DINTEL SOBRE MUROS EN CONCRETO DE 3.000 PSI FABRICADO EN OBRA.</t>
        </is>
      </c>
      <c r="C38" s="19" t="n">
        <v>0.00298263125706722</v>
      </c>
      <c r="D38" s="20" t="n">
        <v>8</v>
      </c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inlineStr">
        <is>
          <t>P</t>
        </is>
      </c>
      <c r="O38" s="21" t="inlineStr">
        <is>
          <t>P</t>
        </is>
      </c>
      <c r="P38" s="21" t="n"/>
      <c r="Q38" s="21" t="n"/>
      <c r="R38" s="21" t="n"/>
      <c r="S38" s="22">
        <f>SUM(E38:R38)</f>
        <v/>
      </c>
    </row>
    <row r="39">
      <c r="A39" s="17" t="inlineStr">
        <is>
          <t>4.6</t>
        </is>
      </c>
      <c r="B39" s="18" t="inlineStr">
        <is>
          <t>SUMINISTRO E INSTALACIÓN DE ALFAJÍA EN MURO DE BORDE, INCLUYE FORMACIÓN DE CORTAGOTERO.</t>
        </is>
      </c>
      <c r="C39" s="19" t="n">
        <v>0.0005032083351342968</v>
      </c>
      <c r="D39" s="20" t="n">
        <v>1</v>
      </c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inlineStr">
        <is>
          <t>P</t>
        </is>
      </c>
      <c r="O39" s="21" t="n"/>
      <c r="P39" s="21" t="n"/>
      <c r="Q39" s="21" t="n"/>
      <c r="R39" s="21" t="n"/>
      <c r="S39" s="22">
        <f>SUM(E39:R39)</f>
        <v/>
      </c>
    </row>
    <row r="40">
      <c r="A40" s="17" t="inlineStr">
        <is>
          <t>4.7</t>
        </is>
      </c>
      <c r="B40" s="18" t="inlineStr">
        <is>
          <t>SUMINISTRO E INSTALACIÓN DE LAVATRAPEROS PREFABRICADO, CON ACABADO EN GRANITO PULIDO DE 30 × 30 CM; INCLUYE LLAVE TERMINAL DE 1/2", PAÑETE, DESTRONQUE, PULIDA Y BRILLADA</t>
        </is>
      </c>
      <c r="C40" s="19" t="n">
        <v>0.0002299798543559375</v>
      </c>
      <c r="D40" s="20" t="n">
        <v>1</v>
      </c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inlineStr">
        <is>
          <t>P</t>
        </is>
      </c>
      <c r="O40" s="21" t="n"/>
      <c r="P40" s="21" t="n"/>
      <c r="Q40" s="21" t="n"/>
      <c r="R40" s="21" t="n"/>
      <c r="S40" s="22">
        <f>SUM(E40:R40)</f>
        <v/>
      </c>
    </row>
    <row r="41">
      <c r="A41" s="12" t="inlineStr">
        <is>
          <t>5</t>
        </is>
      </c>
      <c r="B41" s="13" t="inlineStr">
        <is>
          <t>ACABADOS</t>
        </is>
      </c>
      <c r="C41" s="14">
        <f>SUM(C42:C49)</f>
        <v/>
      </c>
      <c r="D41" s="15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</row>
    <row r="42">
      <c r="A42" s="17" t="inlineStr">
        <is>
          <t>5.1</t>
        </is>
      </c>
      <c r="B42" s="18" t="inlineStr">
        <is>
          <t>SUMINISTRO E INSTALACIÓN DE PISO EN CONCRETO PULIDO DE 4.000 PSI PREMEZCLADO.</t>
        </is>
      </c>
      <c r="C42" s="19" t="n">
        <v>0.03171307455408631</v>
      </c>
      <c r="D42" s="20" t="n">
        <v>7</v>
      </c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inlineStr">
        <is>
          <t>P</t>
        </is>
      </c>
      <c r="P42" s="21" t="inlineStr">
        <is>
          <t>P</t>
        </is>
      </c>
      <c r="Q42" s="21" t="n"/>
      <c r="R42" s="21" t="n"/>
      <c r="S42" s="22">
        <f>SUM(E42:R42)</f>
        <v/>
      </c>
    </row>
    <row r="43">
      <c r="A43" s="17" t="inlineStr">
        <is>
          <t>5.2</t>
        </is>
      </c>
      <c r="B43" s="18" t="inlineStr">
        <is>
          <t>SUMINISTRO Y COLOCACIÓN DE PISO CERÁMICO ANTIDESLIZANTE, FORMATO 30 × 30 CM, PARA BAÑOS Y ÁREAS HÚMEDAS.</t>
        </is>
      </c>
      <c r="C43" s="19" t="n">
        <v>0.001938447276373054</v>
      </c>
      <c r="D43" s="20" t="n">
        <v>4</v>
      </c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inlineStr">
        <is>
          <t>P</t>
        </is>
      </c>
      <c r="P43" s="21" t="inlineStr">
        <is>
          <t>P</t>
        </is>
      </c>
      <c r="Q43" s="21" t="n"/>
      <c r="R43" s="21" t="n"/>
      <c r="S43" s="22">
        <f>SUM(E43:R43)</f>
        <v/>
      </c>
    </row>
    <row r="44">
      <c r="A44" s="17" t="inlineStr">
        <is>
          <t>5.3</t>
        </is>
      </c>
      <c r="B44" s="18" t="inlineStr">
        <is>
          <t>SUMINISTRO E INSTALACIÓN DE BORDILLO EN CONCRETO PREFABRICADO.</t>
        </is>
      </c>
      <c r="C44" s="19" t="n">
        <v>0.00347841799538864</v>
      </c>
      <c r="D44" s="20" t="n">
        <v>6</v>
      </c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inlineStr">
        <is>
          <t>P</t>
        </is>
      </c>
      <c r="P44" s="21" t="inlineStr">
        <is>
          <t>P</t>
        </is>
      </c>
      <c r="Q44" s="21" t="n"/>
      <c r="R44" s="21" t="n"/>
      <c r="S44" s="22">
        <f>SUM(E44:R44)</f>
        <v/>
      </c>
    </row>
    <row r="45">
      <c r="A45" s="17" t="inlineStr">
        <is>
          <t>5.4</t>
        </is>
      </c>
      <c r="B45" s="18" t="inlineStr">
        <is>
          <t>SUMINISTRO Y COLOCACIÓN DE REVESTIMIENTO CERÁMICO PARA MUROS, FORMATO 30 × 30 CM, HASTA UNA ALTURA DE 2,00 M.</t>
        </is>
      </c>
      <c r="C45" s="19" t="n">
        <v>0.005595811202341409</v>
      </c>
      <c r="D45" s="20" t="n">
        <v>5</v>
      </c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inlineStr">
        <is>
          <t>P</t>
        </is>
      </c>
      <c r="P45" s="21" t="inlineStr">
        <is>
          <t>P</t>
        </is>
      </c>
      <c r="Q45" s="21" t="n"/>
      <c r="R45" s="21" t="n"/>
      <c r="S45" s="22">
        <f>SUM(E45:R45)</f>
        <v/>
      </c>
    </row>
    <row r="46">
      <c r="A46" s="17" t="inlineStr">
        <is>
          <t>5.5</t>
        </is>
      </c>
      <c r="B46" s="18" t="inlineStr">
        <is>
          <t>SUMINISTRO Y APLICACIÓN DE ESTUCO PLÁSTICO SOBRE SUPERFICIES DE MURO.</t>
        </is>
      </c>
      <c r="C46" s="19" t="n">
        <v>0.008857898234100568</v>
      </c>
      <c r="D46" s="20" t="n">
        <v>8</v>
      </c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inlineStr">
        <is>
          <t>P</t>
        </is>
      </c>
      <c r="P46" s="21" t="inlineStr">
        <is>
          <t>P</t>
        </is>
      </c>
      <c r="Q46" s="21" t="n"/>
      <c r="R46" s="21" t="n"/>
      <c r="S46" s="22">
        <f>SUM(E46:R46)</f>
        <v/>
      </c>
    </row>
    <row r="47">
      <c r="A47" s="17" t="inlineStr">
        <is>
          <t>5.6</t>
        </is>
      </c>
      <c r="B47" s="18" t="inlineStr">
        <is>
          <t>SUMINISTRO Y APLICACIÓN DE SISTEMA DE PINTURA BLANCA TIPO 1, INCLUYE ACABADO DE FILOS Y DILATACIONES.</t>
        </is>
      </c>
      <c r="C47" s="19" t="n">
        <v>0.003147146980659864</v>
      </c>
      <c r="D47" s="20" t="n">
        <v>7</v>
      </c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inlineStr">
        <is>
          <t>P</t>
        </is>
      </c>
      <c r="P47" s="21" t="inlineStr">
        <is>
          <t>P</t>
        </is>
      </c>
      <c r="Q47" s="21" t="n"/>
      <c r="R47" s="21" t="n"/>
      <c r="S47" s="22">
        <f>SUM(E47:R47)</f>
        <v/>
      </c>
    </row>
    <row r="48">
      <c r="A48" s="17" t="inlineStr">
        <is>
          <t>5.7</t>
        </is>
      </c>
      <c r="B48" s="18" t="inlineStr">
        <is>
          <t>SUMINISTRO Y APLICACIÓN DE RECUBRIMIENTO EPÓXICO A BASE DE RESINA ACRÍLICA TERMOPLÁSTICA.</t>
        </is>
      </c>
      <c r="C48" s="19" t="n">
        <v>0.0232960596766422</v>
      </c>
      <c r="D48" s="20" t="n">
        <v>7</v>
      </c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inlineStr">
        <is>
          <t>P</t>
        </is>
      </c>
      <c r="P48" s="21" t="inlineStr">
        <is>
          <t>P</t>
        </is>
      </c>
      <c r="Q48" s="21" t="n"/>
      <c r="R48" s="21" t="n"/>
      <c r="S48" s="22">
        <f>SUM(E48:R48)</f>
        <v/>
      </c>
    </row>
    <row r="49">
      <c r="A49" s="17" t="inlineStr">
        <is>
          <t>5.8</t>
        </is>
      </c>
      <c r="B49" s="18" t="inlineStr">
        <is>
          <t>SUMINISTRO Y APLICACIÓN DE PINTURA PARA DEMARCACIÓN DE ÁREAS.</t>
        </is>
      </c>
      <c r="C49" s="19" t="n">
        <v>0.001225580510451421</v>
      </c>
      <c r="D49" s="20" t="n">
        <v>4</v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inlineStr">
        <is>
          <t>P</t>
        </is>
      </c>
      <c r="P49" s="21" t="inlineStr">
        <is>
          <t>P</t>
        </is>
      </c>
      <c r="Q49" s="21" t="n"/>
      <c r="R49" s="21" t="n"/>
      <c r="S49" s="22">
        <f>SUM(E49:R49)</f>
        <v/>
      </c>
    </row>
    <row r="50">
      <c r="A50" s="12" t="inlineStr">
        <is>
          <t>6</t>
        </is>
      </c>
      <c r="B50" s="13" t="inlineStr">
        <is>
          <t>SISTEMA DE CUBIERTA</t>
        </is>
      </c>
      <c r="C50" s="14">
        <f>SUM(C51:C54)</f>
        <v/>
      </c>
      <c r="D50" s="15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</row>
    <row r="51">
      <c r="A51" s="17" t="inlineStr">
        <is>
          <t>6.1</t>
        </is>
      </c>
      <c r="B51" s="18" t="inlineStr">
        <is>
          <t>Suministro, fabricación, transporte y montaje de ESTRUCTURA METÁLICA DE CUBIERTA SEGUN DISEÑO MALOKA en acero ASTM-500 grC (tubería estructural rectangular), uniones soldadas SMAW con electrodo E7018 y empernadas A325, según planos EST-010. Incluye platinas/placas de conexión, consumibles de soldadura, sistema de pintura anticorrosiva, cortes, despuntes y elementos auxiliares de montaje. Medido por kg de acero.</t>
        </is>
      </c>
      <c r="C51" s="19" t="n">
        <v>0.1126603367918517</v>
      </c>
      <c r="D51" s="20" t="n">
        <v>11</v>
      </c>
      <c r="E51" s="21" t="n"/>
      <c r="F51" s="21" t="n"/>
      <c r="G51" s="21" t="n"/>
      <c r="H51" s="21" t="n"/>
      <c r="I51" s="21" t="n"/>
      <c r="J51" s="21" t="n"/>
      <c r="K51" s="21" t="inlineStr">
        <is>
          <t>P</t>
        </is>
      </c>
      <c r="L51" s="21" t="inlineStr">
        <is>
          <t>P</t>
        </is>
      </c>
      <c r="M51" s="21" t="inlineStr">
        <is>
          <t>P</t>
        </is>
      </c>
      <c r="N51" s="21" t="n"/>
      <c r="O51" s="21" t="n"/>
      <c r="P51" s="21" t="n"/>
      <c r="Q51" s="21" t="n"/>
      <c r="R51" s="21" t="n"/>
      <c r="S51" s="22">
        <f>SUM(E51:R51)</f>
        <v/>
      </c>
    </row>
    <row r="52">
      <c r="A52" s="17" t="inlineStr">
        <is>
          <t>6.2</t>
        </is>
      </c>
      <c r="B52" s="18" t="inlineStr">
        <is>
          <t>Suministro, fabricación, transporte y montaje de CORREAS METÁLICAS TIPO CAJÓN doble (2 perfiles C-125 cal 14, t=2,0 mm) unidas con soldadura intermitente 50@250, incluye platinas de unión a viga cinta (140×260×6,5 y 140×200×6,5), lámina conectora 50×220×2,0, pernos 3/8", consumibles de soldadura E7018, sistema de pintura anticorrosiva, cortes, despuntes y montaje. Medido por kg de acero.</t>
        </is>
      </c>
      <c r="C52" s="19" t="n">
        <v>0.01320133819531256</v>
      </c>
      <c r="D52" s="20" t="n">
        <v>7</v>
      </c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inlineStr">
        <is>
          <t>P</t>
        </is>
      </c>
      <c r="N52" s="21" t="inlineStr">
        <is>
          <t>P</t>
        </is>
      </c>
      <c r="O52" s="21" t="n"/>
      <c r="P52" s="21" t="n"/>
      <c r="Q52" s="21" t="n"/>
      <c r="R52" s="21" t="n"/>
      <c r="S52" s="22">
        <f>SUM(E52:R52)</f>
        <v/>
      </c>
    </row>
    <row r="53">
      <c r="A53" s="17" t="inlineStr">
        <is>
          <t>6.3</t>
        </is>
      </c>
      <c r="B53" s="18" t="inlineStr">
        <is>
          <t>SUMINISTRO Y MONTAJE DE CUBIERTA TERMOACÚSTICA TIPO SÁNDWICH, DE 18 MM DE ESPESOR.</t>
        </is>
      </c>
      <c r="C53" s="19" t="n">
        <v>0.09061768710093762</v>
      </c>
      <c r="D53" s="20" t="n">
        <v>15</v>
      </c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inlineStr">
        <is>
          <t>P</t>
        </is>
      </c>
      <c r="N53" s="21" t="inlineStr">
        <is>
          <t>P</t>
        </is>
      </c>
      <c r="O53" s="21" t="inlineStr">
        <is>
          <t>P</t>
        </is>
      </c>
      <c r="P53" s="21" t="inlineStr">
        <is>
          <t>P</t>
        </is>
      </c>
      <c r="Q53" s="21" t="n"/>
      <c r="R53" s="21" t="n"/>
      <c r="S53" s="22">
        <f>SUM(E53:R53)</f>
        <v/>
      </c>
    </row>
    <row r="54">
      <c r="A54" s="17" t="inlineStr">
        <is>
          <t>6.4</t>
        </is>
      </c>
      <c r="B54" s="18" t="inlineStr">
        <is>
          <t>SUMINISTRO Y MONTAJE DE CUBIERTA LIVIANA EN POLICARBONATO.</t>
        </is>
      </c>
      <c r="C54" s="19" t="n">
        <v>0.002687780580957848</v>
      </c>
      <c r="D54" s="20" t="n">
        <v>3</v>
      </c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inlineStr">
        <is>
          <t>P</t>
        </is>
      </c>
      <c r="O54" s="21" t="inlineStr">
        <is>
          <t>P</t>
        </is>
      </c>
      <c r="P54" s="21" t="n"/>
      <c r="Q54" s="21" t="n"/>
      <c r="R54" s="21" t="n"/>
      <c r="S54" s="22">
        <f>SUM(E54:R54)</f>
        <v/>
      </c>
    </row>
    <row r="55">
      <c r="A55" s="12" t="inlineStr">
        <is>
          <t>7</t>
        </is>
      </c>
      <c r="B55" s="13" t="inlineStr">
        <is>
          <t>CARPINTERÍA METÁLICA</t>
        </is>
      </c>
      <c r="C55" s="14">
        <f>SUM(C56:C61)</f>
        <v/>
      </c>
      <c r="D55" s="15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</row>
    <row r="56">
      <c r="A56" s="17" t="inlineStr">
        <is>
          <t>7.1</t>
        </is>
      </c>
      <c r="B56" s="18" t="inlineStr">
        <is>
          <t>Suministro, fabricación e instalación de PUERTA METÁLICA ABATIBLE PT01 de 1,20 m × 2,00 m, en lámina cold rolled cal. 18 con marco y refuerzos en perfilería estructural. Incluye 3 bisagras soldables, cerradura de seguridad, anclajes, pintura anticorrosiva y esmalte sintético.</t>
        </is>
      </c>
      <c r="C56" s="19" t="n">
        <v>0.007936945139862855</v>
      </c>
      <c r="D56" s="20" t="n">
        <v>6</v>
      </c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inlineStr">
        <is>
          <t>P</t>
        </is>
      </c>
      <c r="P56" s="21" t="inlineStr">
        <is>
          <t>P</t>
        </is>
      </c>
      <c r="Q56" s="21" t="n"/>
      <c r="R56" s="21" t="n"/>
      <c r="S56" s="22">
        <f>SUM(E56:R56)</f>
        <v/>
      </c>
    </row>
    <row r="57">
      <c r="A57" s="17" t="inlineStr">
        <is>
          <t>7.2</t>
        </is>
      </c>
      <c r="B57" s="18" t="inlineStr">
        <is>
          <t>Suministro, fabricación e instalación de PUERTA METÁLICA ABATIBLE PT02 de 0,70 m × 2,00 m (acceso a baño/servicio), en lámina cold rolled cal. 18 con marco y refuerzos en perfilería estructural. Incluye 3 bisagras soldables, cerradura sencilla, anclajes, pintura anticorrosiva y esmalte sintético.</t>
        </is>
      </c>
      <c r="C57" s="19" t="n">
        <v>0.001528593648122494</v>
      </c>
      <c r="D57" s="20" t="n">
        <v>3</v>
      </c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inlineStr">
        <is>
          <t>P</t>
        </is>
      </c>
      <c r="P57" s="21" t="inlineStr">
        <is>
          <t>P</t>
        </is>
      </c>
      <c r="Q57" s="21" t="n"/>
      <c r="R57" s="21" t="n"/>
      <c r="S57" s="22">
        <f>SUM(E57:R57)</f>
        <v/>
      </c>
    </row>
    <row r="58">
      <c r="A58" s="17" t="inlineStr">
        <is>
          <t>7.3</t>
        </is>
      </c>
      <c r="B58" s="18" t="inlineStr">
        <is>
          <t>Suministro, fabricación e instalación de PERSIANA FIJA VT01 de 1,40 m × 0,60 m, tipo celosía/louver con lamas horizontales en lámina cold rolled cal. 18, marco en perfilería estructural. Incluye anclajes, pintura anticorrosiva y esmalte sintético.</t>
        </is>
      </c>
      <c r="C58" s="19" t="n">
        <v>0.001312809642181961</v>
      </c>
      <c r="D58" s="20" t="n">
        <v>2</v>
      </c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inlineStr">
        <is>
          <t>P</t>
        </is>
      </c>
      <c r="P58" s="21" t="n"/>
      <c r="Q58" s="21" t="n"/>
      <c r="R58" s="21" t="n"/>
      <c r="S58" s="22">
        <f>SUM(E58:R58)</f>
        <v/>
      </c>
    </row>
    <row r="59">
      <c r="A59" s="17" t="inlineStr">
        <is>
          <t>7.4</t>
        </is>
      </c>
      <c r="B59" s="18" t="inlineStr">
        <is>
          <t>Suministro, fabricación e instalación de VENTANA CORREDIZA VT02 de 1,40 m × 1,00 m, de dos hojas en lámina cold rolled cal. 18 , riel y rodamientos, vidrio crudo 4 mm, felpa/empaque, anclajes, pintura anticorrosiva y esmalte sintético.</t>
        </is>
      </c>
      <c r="C59" s="19" t="n">
        <v>0.0007547482099097087</v>
      </c>
      <c r="D59" s="20" t="n">
        <v>2</v>
      </c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inlineStr">
        <is>
          <t>P</t>
        </is>
      </c>
      <c r="P59" s="21" t="n"/>
      <c r="Q59" s="21" t="n"/>
      <c r="R59" s="21" t="n"/>
      <c r="S59" s="22">
        <f>SUM(E59:R59)</f>
        <v/>
      </c>
    </row>
    <row r="60">
      <c r="A60" s="17" t="inlineStr">
        <is>
          <t>7.5</t>
        </is>
      </c>
      <c r="B60" s="18" t="inlineStr">
        <is>
          <t>Suministro, fabricación e instalación de PERSIANA FIJA VT03 tipo celosía/louver con lamas horizontales en lámina cold rolled cal. 18, marco en perfilería estructural, de altura 0,40 m y longitud variable. Incluye anclajes, pintura anticorrosiva y esmalte sintético. Medido por m² de fachada.</t>
        </is>
      </c>
      <c r="C60" s="19" t="n">
        <v>0.001766497551240658</v>
      </c>
      <c r="D60" s="20" t="n">
        <v>3</v>
      </c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inlineStr">
        <is>
          <t>P</t>
        </is>
      </c>
      <c r="P60" s="21" t="inlineStr">
        <is>
          <t>P</t>
        </is>
      </c>
      <c r="Q60" s="21" t="n"/>
      <c r="R60" s="21" t="n"/>
      <c r="S60" s="22">
        <f>SUM(E60:R60)</f>
        <v/>
      </c>
    </row>
    <row r="61">
      <c r="A61" s="17" t="inlineStr">
        <is>
          <t>7.6</t>
        </is>
      </c>
      <c r="B61" s="18" t="inlineStr">
        <is>
          <t>Suministro, fabricación e instalación de PERSIANA FIJA VT04 tipo celosía/louver con lamas horizontales en lámina cold rolled cal. 18, marco en perfilería estructural, de altura 1,00 m y longitud variable. Incluye anclajes, pintura anticorrosiva y esmalte sintético. Medido por m² de fachada.</t>
        </is>
      </c>
      <c r="C61" s="19" t="n">
        <v>0.004613957827635314</v>
      </c>
      <c r="D61" s="20" t="n">
        <v>6</v>
      </c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inlineStr">
        <is>
          <t>P</t>
        </is>
      </c>
      <c r="P61" s="21" t="inlineStr">
        <is>
          <t>P</t>
        </is>
      </c>
      <c r="Q61" s="21" t="n"/>
      <c r="R61" s="21" t="n"/>
      <c r="S61" s="22">
        <f>SUM(E61:R61)</f>
        <v/>
      </c>
    </row>
    <row r="62">
      <c r="A62" s="12" t="inlineStr">
        <is>
          <t>8</t>
        </is>
      </c>
      <c r="B62" s="13" t="inlineStr">
        <is>
          <t>RED HIDRÁULICA</t>
        </is>
      </c>
      <c r="C62" s="14">
        <f>SUM(C63:C74)</f>
        <v/>
      </c>
      <c r="D62" s="15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</row>
    <row r="63">
      <c r="A63" s="17" t="inlineStr">
        <is>
          <t>8.1</t>
        </is>
      </c>
      <c r="B63" s="18" t="inlineStr">
        <is>
          <t>SUMINISTRO E INSTALACIÓN DE TUBERÍA PVC PARA PRESIÓN DE Ø 1/2", INCLUYE ACCESORIOS DE CONEXIÓN Y ELEMENTOS DE FIJACIÓN.</t>
        </is>
      </c>
      <c r="C63" s="19" t="n">
        <v>3.454186964973835e-05</v>
      </c>
      <c r="D63" s="20" t="n">
        <v>1</v>
      </c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inlineStr">
        <is>
          <t>P</t>
        </is>
      </c>
      <c r="P63" s="21" t="n"/>
      <c r="Q63" s="21" t="n"/>
      <c r="R63" s="21" t="n"/>
      <c r="S63" s="22">
        <f>SUM(E63:R63)</f>
        <v/>
      </c>
    </row>
    <row r="64">
      <c r="A64" s="17" t="inlineStr">
        <is>
          <t>8.2</t>
        </is>
      </c>
      <c r="B64" s="18" t="inlineStr">
        <is>
          <t>SUMINISTRO E INSTALACIÓN DE TUBERÍA PVC PARA PRESIÓN DE Ø 3/4", INCLUYE ACCESORIOS DE CONEXIÓN Y ELEMENTOS DE FIJACIÓN.</t>
        </is>
      </c>
      <c r="C64" s="19" t="n">
        <v>0.001212540873347173</v>
      </c>
      <c r="D64" s="20" t="n">
        <v>4</v>
      </c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inlineStr">
        <is>
          <t>P</t>
        </is>
      </c>
      <c r="P64" s="21" t="inlineStr">
        <is>
          <t>P</t>
        </is>
      </c>
      <c r="Q64" s="21" t="n"/>
      <c r="R64" s="21" t="n"/>
      <c r="S64" s="22">
        <f>SUM(E64:R64)</f>
        <v/>
      </c>
    </row>
    <row r="65">
      <c r="A65" s="17" t="inlineStr">
        <is>
          <t>8.3</t>
        </is>
      </c>
      <c r="B65" s="18" t="inlineStr">
        <is>
          <t>SUMINISTRO E INSTALACIÓN DE TUBERÍA PVC PARA PRESIÓN DE Ø 1", INCLUYE ACCESORIOS DE CONEXIÓN Y ELEMENTOS DE FIJACIÓN.</t>
        </is>
      </c>
      <c r="C65" s="19" t="n">
        <v>0.001775729088471068</v>
      </c>
      <c r="D65" s="20" t="n">
        <v>5</v>
      </c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inlineStr">
        <is>
          <t>P</t>
        </is>
      </c>
      <c r="P65" s="21" t="inlineStr">
        <is>
          <t>P</t>
        </is>
      </c>
      <c r="Q65" s="21" t="n"/>
      <c r="R65" s="21" t="n"/>
      <c r="S65" s="22">
        <f>SUM(E65:R65)</f>
        <v/>
      </c>
    </row>
    <row r="66">
      <c r="A66" s="17" t="inlineStr">
        <is>
          <t>8.4</t>
        </is>
      </c>
      <c r="B66" s="18" t="inlineStr">
        <is>
          <t>CONSTRUCCIÓN DE PUNTO HIDRÁULICO PARA AGUA FRÍA EN TUBERÍA PVC PRESIÓN DE Ø 1/2".</t>
        </is>
      </c>
      <c r="C66" s="19" t="n">
        <v>0.0005729002086050217</v>
      </c>
      <c r="D66" s="20" t="n">
        <v>2</v>
      </c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inlineStr">
        <is>
          <t>P</t>
        </is>
      </c>
      <c r="P66" s="21" t="n"/>
      <c r="Q66" s="21" t="n"/>
      <c r="R66" s="21" t="n"/>
      <c r="S66" s="22">
        <f>SUM(E66:R66)</f>
        <v/>
      </c>
    </row>
    <row r="67">
      <c r="A67" s="17" t="inlineStr">
        <is>
          <t>8.5</t>
        </is>
      </c>
      <c r="B67" s="18" t="inlineStr">
        <is>
          <t>SUMINISTRO E INSTALACIÓN DE VÁLVULA DE REGISTRO TIPO BOLA EN PVC PRESIÓN DE Ø 3/4".</t>
        </is>
      </c>
      <c r="C67" s="19" t="n">
        <v>0.0007242303126368861</v>
      </c>
      <c r="D67" s="20" t="n">
        <v>1</v>
      </c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inlineStr">
        <is>
          <t>P</t>
        </is>
      </c>
      <c r="P67" s="21" t="n"/>
      <c r="Q67" s="21" t="n"/>
      <c r="R67" s="21" t="n"/>
      <c r="S67" s="22">
        <f>SUM(E67:R67)</f>
        <v/>
      </c>
    </row>
    <row r="68">
      <c r="A68" s="17" t="inlineStr">
        <is>
          <t>8.6</t>
        </is>
      </c>
      <c r="B68" s="18" t="inlineStr">
        <is>
          <t>SUMINISTRO E INSTALACIÓN DE VÁLVULA DE CHEQUE TIPO CORTINA DE Ø 1".</t>
        </is>
      </c>
      <c r="C68" s="19" t="n">
        <v>0.000435091256868222</v>
      </c>
      <c r="D68" s="20" t="n">
        <v>1</v>
      </c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inlineStr">
        <is>
          <t>P</t>
        </is>
      </c>
      <c r="P68" s="21" t="n"/>
      <c r="Q68" s="21" t="n"/>
      <c r="R68" s="21" t="n"/>
      <c r="S68" s="22">
        <f>SUM(E68:R68)</f>
        <v/>
      </c>
    </row>
    <row r="69">
      <c r="A69" s="17" t="inlineStr">
        <is>
          <t>8.7</t>
        </is>
      </c>
      <c r="B69" s="18" t="inlineStr">
        <is>
          <t>SUMINISTRO E INSTALACIÓN DE VÁLVULA DE BOLA ROSCADA EN ACERO INOXIDABLE DE Ø 1".</t>
        </is>
      </c>
      <c r="C69" s="19" t="n">
        <v>0.000153087944596517</v>
      </c>
      <c r="D69" s="20" t="n">
        <v>1</v>
      </c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inlineStr">
        <is>
          <t>P</t>
        </is>
      </c>
      <c r="P69" s="21" t="n"/>
      <c r="Q69" s="21" t="n"/>
      <c r="R69" s="21" t="n"/>
      <c r="S69" s="22">
        <f>SUM(E69:R69)</f>
        <v/>
      </c>
    </row>
    <row r="70">
      <c r="A70" s="17" t="inlineStr">
        <is>
          <t>8.8</t>
        </is>
      </c>
      <c r="B70" s="18" t="inlineStr">
        <is>
          <t>SUMINISTRO E INSTALACIÓN DE VÁLVULA FLOTADORA EN BRONCE DE Ø 1", CON BOLA DE COBRE.</t>
        </is>
      </c>
      <c r="C70" s="19" t="n">
        <v>0.0001200119505983694</v>
      </c>
      <c r="D70" s="20" t="n">
        <v>1</v>
      </c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inlineStr">
        <is>
          <t>P</t>
        </is>
      </c>
      <c r="P70" s="21" t="n"/>
      <c r="Q70" s="21" t="n"/>
      <c r="R70" s="21" t="n"/>
      <c r="S70" s="22">
        <f>SUM(E70:R70)</f>
        <v/>
      </c>
    </row>
    <row r="71">
      <c r="A71" s="17" t="inlineStr">
        <is>
          <t>8.9</t>
        </is>
      </c>
      <c r="B71" s="18" t="inlineStr">
        <is>
          <t>SUMINISTRO E INSTALACIÓN DE CAJA PARA MEDICIÓN DEL CONSUMO DE ACUEDUCTO.</t>
        </is>
      </c>
      <c r="C71" s="19" t="n">
        <v>0.0001484104549012451</v>
      </c>
      <c r="D71" s="20" t="n">
        <v>1</v>
      </c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inlineStr">
        <is>
          <t>P</t>
        </is>
      </c>
      <c r="P71" s="21" t="n"/>
      <c r="Q71" s="21" t="n"/>
      <c r="R71" s="21" t="n"/>
      <c r="S71" s="22">
        <f>SUM(E71:R71)</f>
        <v/>
      </c>
    </row>
    <row r="72">
      <c r="A72" s="17" t="inlineStr">
        <is>
          <t>8.10</t>
        </is>
      </c>
      <c r="B72" s="18" t="inlineStr">
        <is>
          <t>SUMINISTRO E INSTALACIÓN DE TANQUE PARA ALMACENAMIENTO DE AGUA CON CAPACIDAD DE 2.000 L, INCLUYE ACCESORIOS DE CONTROL Y CONEXIÓN.</t>
        </is>
      </c>
      <c r="C72" s="19" t="n">
        <v>0.0007485912296187137</v>
      </c>
      <c r="D72" s="20" t="n">
        <v>1</v>
      </c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inlineStr">
        <is>
          <t>P</t>
        </is>
      </c>
      <c r="P72" s="21" t="n"/>
      <c r="Q72" s="21" t="n"/>
      <c r="R72" s="21" t="n"/>
      <c r="S72" s="22">
        <f>SUM(E72:R72)</f>
        <v/>
      </c>
    </row>
    <row r="73">
      <c r="A73" s="17" t="inlineStr">
        <is>
          <t>8.11</t>
        </is>
      </c>
      <c r="B73" s="18" t="inlineStr">
        <is>
          <t>CONSTRUCCIÓN DE ACOMETIDA HIDRÁULICA PRINCIPAL, INCLUYE REGISTRO DE INSPECCIÓN CON TAPA.</t>
        </is>
      </c>
      <c r="C73" s="19" t="n">
        <v>0.0002432158492100065</v>
      </c>
      <c r="D73" s="20" t="n">
        <v>1</v>
      </c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inlineStr">
        <is>
          <t>P</t>
        </is>
      </c>
      <c r="P73" s="21" t="n"/>
      <c r="Q73" s="21" t="n"/>
      <c r="R73" s="21" t="n"/>
      <c r="S73" s="22">
        <f>SUM(E73:R73)</f>
        <v/>
      </c>
    </row>
    <row r="74">
      <c r="A74" s="17" t="inlineStr">
        <is>
          <t>8.12</t>
        </is>
      </c>
      <c r="B74" s="18" t="inlineStr">
        <is>
          <t>SUMINISTRO E INSTALACIÓN DE EXTINTOR MULTIPROPÓSITO TIPO ABC DE 10 LB.</t>
        </is>
      </c>
      <c r="C74" s="19" t="n">
        <v>0.0002337337970075601</v>
      </c>
      <c r="D74" s="20" t="n">
        <v>1</v>
      </c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inlineStr">
        <is>
          <t>P</t>
        </is>
      </c>
      <c r="P74" s="21" t="n"/>
      <c r="Q74" s="21" t="n"/>
      <c r="R74" s="21" t="n"/>
      <c r="S74" s="22">
        <f>SUM(E74:R74)</f>
        <v/>
      </c>
    </row>
    <row r="75">
      <c r="A75" s="12" t="inlineStr">
        <is>
          <t>9</t>
        </is>
      </c>
      <c r="B75" s="13" t="inlineStr">
        <is>
          <t>RED SANITARIA</t>
        </is>
      </c>
      <c r="C75" s="14">
        <f>SUM(C76:C85)</f>
        <v/>
      </c>
      <c r="D75" s="15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</row>
    <row r="76">
      <c r="A76" s="17" t="inlineStr">
        <is>
          <t>9.1</t>
        </is>
      </c>
      <c r="B76" s="18" t="inlineStr">
        <is>
          <t>SUMINISTRO E INSTALACIÓN DE TUBERÍA SANITARIA EN PVC DE Ø 2", INCLUYE ACCESORIOS Y SOPORTES.</t>
        </is>
      </c>
      <c r="C76" s="19" t="n">
        <v>0.000673974528300978</v>
      </c>
      <c r="D76" s="20" t="n">
        <v>2</v>
      </c>
      <c r="E76" s="21" t="n"/>
      <c r="F76" s="21" t="n"/>
      <c r="G76" s="21" t="n"/>
      <c r="H76" s="21" t="n"/>
      <c r="I76" s="21" t="n"/>
      <c r="J76" s="21" t="n"/>
      <c r="K76" s="21" t="inlineStr">
        <is>
          <t>P</t>
        </is>
      </c>
      <c r="L76" s="21" t="n"/>
      <c r="M76" s="21" t="n"/>
      <c r="N76" s="21" t="n"/>
      <c r="O76" s="21" t="n"/>
      <c r="P76" s="21" t="n"/>
      <c r="Q76" s="21" t="n"/>
      <c r="R76" s="21" t="n"/>
      <c r="S76" s="22">
        <f>SUM(E76:R76)</f>
        <v/>
      </c>
    </row>
    <row r="77">
      <c r="A77" s="17" t="inlineStr">
        <is>
          <t>9.2</t>
        </is>
      </c>
      <c r="B77" s="18" t="inlineStr">
        <is>
          <t>SUMINISTRO E INSTALACIÓN DE TUBERÍA SANITARIA EN PVC DE Ø 4", INCLUYE ACCESORIOS Y SOPORTES.</t>
        </is>
      </c>
      <c r="C77" s="19" t="n">
        <v>0.001114594965258533</v>
      </c>
      <c r="D77" s="20" t="n">
        <v>3</v>
      </c>
      <c r="E77" s="21" t="n"/>
      <c r="F77" s="21" t="n"/>
      <c r="G77" s="21" t="n"/>
      <c r="H77" s="21" t="n"/>
      <c r="I77" s="21" t="n"/>
      <c r="J77" s="21" t="n"/>
      <c r="K77" s="21" t="inlineStr">
        <is>
          <t>P</t>
        </is>
      </c>
      <c r="L77" s="21" t="inlineStr">
        <is>
          <t>P</t>
        </is>
      </c>
      <c r="M77" s="21" t="n"/>
      <c r="N77" s="21" t="n"/>
      <c r="O77" s="21" t="n"/>
      <c r="P77" s="21" t="n"/>
      <c r="Q77" s="21" t="n"/>
      <c r="R77" s="21" t="n"/>
      <c r="S77" s="22">
        <f>SUM(E77:R77)</f>
        <v/>
      </c>
    </row>
    <row r="78">
      <c r="A78" s="17" t="inlineStr">
        <is>
          <t>9.3</t>
        </is>
      </c>
      <c r="B78" s="18" t="inlineStr">
        <is>
          <t>SUMINISTRO E INSTALACIÓN DE TUBERÍA SANITARIA PVC CORRUGADA TIPO NOVAFORT DE Ø 6", INCLUYE ACCESORIOS Y SOPORTES.</t>
        </is>
      </c>
      <c r="C78" s="19" t="n">
        <v>0.00159134870755775</v>
      </c>
      <c r="D78" s="20" t="n">
        <v>3</v>
      </c>
      <c r="E78" s="21" t="n"/>
      <c r="F78" s="21" t="n"/>
      <c r="G78" s="21" t="n"/>
      <c r="H78" s="21" t="n"/>
      <c r="I78" s="21" t="n"/>
      <c r="J78" s="21" t="n"/>
      <c r="K78" s="21" t="inlineStr">
        <is>
          <t>P</t>
        </is>
      </c>
      <c r="L78" s="21" t="inlineStr">
        <is>
          <t>P</t>
        </is>
      </c>
      <c r="M78" s="21" t="n"/>
      <c r="N78" s="21" t="n"/>
      <c r="O78" s="21" t="n"/>
      <c r="P78" s="21" t="n"/>
      <c r="Q78" s="21" t="n"/>
      <c r="R78" s="21" t="n"/>
      <c r="S78" s="22">
        <f>SUM(E78:R78)</f>
        <v/>
      </c>
    </row>
    <row r="79">
      <c r="A79" s="17" t="inlineStr">
        <is>
          <t>9.4</t>
        </is>
      </c>
      <c r="B79" s="18" t="inlineStr">
        <is>
          <t>SUMINISTRO E INSTALACIÓN DE TUBERÍA PARA VENTILACIÓN SANITARIA EN PVC DE Ø 2", INCLUYE ACCESORIOS Y SOPORTES.</t>
        </is>
      </c>
      <c r="C79" s="19" t="n">
        <v>0.001941556838846606</v>
      </c>
      <c r="D79" s="20" t="n">
        <v>5</v>
      </c>
      <c r="E79" s="21" t="n"/>
      <c r="F79" s="21" t="n"/>
      <c r="G79" s="21" t="n"/>
      <c r="H79" s="21" t="n"/>
      <c r="I79" s="21" t="n"/>
      <c r="J79" s="21" t="n"/>
      <c r="K79" s="21" t="inlineStr">
        <is>
          <t>P</t>
        </is>
      </c>
      <c r="L79" s="21" t="inlineStr">
        <is>
          <t>P</t>
        </is>
      </c>
      <c r="M79" s="21" t="n"/>
      <c r="N79" s="21" t="n"/>
      <c r="O79" s="21" t="n"/>
      <c r="P79" s="21" t="n"/>
      <c r="Q79" s="21" t="n"/>
      <c r="R79" s="21" t="n"/>
      <c r="S79" s="22">
        <f>SUM(E79:R79)</f>
        <v/>
      </c>
    </row>
    <row r="80">
      <c r="A80" s="17" t="inlineStr">
        <is>
          <t>9.5</t>
        </is>
      </c>
      <c r="B80" s="18" t="inlineStr">
        <is>
          <t>CONSTRUCCIÓN DE PUNTO SANITARIO EN PVC DE Ø 2".</t>
        </is>
      </c>
      <c r="C80" s="19" t="n">
        <v>0.0007731813314934371</v>
      </c>
      <c r="D80" s="20" t="n">
        <v>2</v>
      </c>
      <c r="E80" s="21" t="n"/>
      <c r="F80" s="21" t="n"/>
      <c r="G80" s="21" t="n"/>
      <c r="H80" s="21" t="n"/>
      <c r="I80" s="21" t="n"/>
      <c r="J80" s="21" t="n"/>
      <c r="K80" s="21" t="inlineStr">
        <is>
          <t>P</t>
        </is>
      </c>
      <c r="L80" s="21" t="n"/>
      <c r="M80" s="21" t="n"/>
      <c r="N80" s="21" t="n"/>
      <c r="O80" s="21" t="n"/>
      <c r="P80" s="21" t="n"/>
      <c r="Q80" s="21" t="n"/>
      <c r="R80" s="21" t="n"/>
      <c r="S80" s="22">
        <f>SUM(E80:R80)</f>
        <v/>
      </c>
    </row>
    <row r="81">
      <c r="A81" s="17" t="inlineStr">
        <is>
          <t>9.6</t>
        </is>
      </c>
      <c r="B81" s="18" t="inlineStr">
        <is>
          <t>CONSTRUCCIÓN DE PUNTO SANITARIO EN PVC DE Ø 4".</t>
        </is>
      </c>
      <c r="C81" s="19" t="n">
        <v>0.0005219470365752196</v>
      </c>
      <c r="D81" s="20" t="n">
        <v>2</v>
      </c>
      <c r="E81" s="21" t="n"/>
      <c r="F81" s="21" t="n"/>
      <c r="G81" s="21" t="n"/>
      <c r="H81" s="21" t="n"/>
      <c r="I81" s="21" t="n"/>
      <c r="J81" s="21" t="n"/>
      <c r="K81" s="21" t="inlineStr">
        <is>
          <t>P</t>
        </is>
      </c>
      <c r="L81" s="21" t="n"/>
      <c r="M81" s="21" t="n"/>
      <c r="N81" s="21" t="n"/>
      <c r="O81" s="21" t="n"/>
      <c r="P81" s="21" t="n"/>
      <c r="Q81" s="21" t="n"/>
      <c r="R81" s="21" t="n"/>
      <c r="S81" s="22">
        <f>SUM(E81:R81)</f>
        <v/>
      </c>
    </row>
    <row r="82">
      <c r="A82" s="17" t="inlineStr">
        <is>
          <t>9.7</t>
        </is>
      </c>
      <c r="B82" s="18" t="inlineStr">
        <is>
          <t>CONSTRUCCIÓN DE PUNTO SANITARIO SIFONADO EN PVC DE Ø 2".</t>
        </is>
      </c>
      <c r="C82" s="19" t="n">
        <v>0.0002050092904312914</v>
      </c>
      <c r="D82" s="20" t="n">
        <v>1</v>
      </c>
      <c r="E82" s="21" t="n"/>
      <c r="F82" s="21" t="n"/>
      <c r="G82" s="21" t="n"/>
      <c r="H82" s="21" t="n"/>
      <c r="I82" s="21" t="n"/>
      <c r="J82" s="21" t="n"/>
      <c r="K82" s="21" t="inlineStr">
        <is>
          <t>P</t>
        </is>
      </c>
      <c r="L82" s="21" t="n"/>
      <c r="M82" s="21" t="n"/>
      <c r="N82" s="21" t="n"/>
      <c r="O82" s="21" t="n"/>
      <c r="P82" s="21" t="n"/>
      <c r="Q82" s="21" t="n"/>
      <c r="R82" s="21" t="n"/>
      <c r="S82" s="22">
        <f>SUM(E82:R82)</f>
        <v/>
      </c>
    </row>
    <row r="83">
      <c r="A83" s="17" t="inlineStr">
        <is>
          <t>9.8</t>
        </is>
      </c>
      <c r="B83" s="18" t="inlineStr">
        <is>
          <t>SUMINISTRO E INSTALACIÓN DE TRAMPA DE GRASAS DE 40 × 60 CM, CON MARCO Y TAPA.</t>
        </is>
      </c>
      <c r="C83" s="19" t="n">
        <v>0.0005431462609751848</v>
      </c>
      <c r="D83" s="20" t="n">
        <v>1</v>
      </c>
      <c r="E83" s="21" t="n"/>
      <c r="F83" s="21" t="n"/>
      <c r="G83" s="21" t="n"/>
      <c r="H83" s="21" t="n"/>
      <c r="I83" s="21" t="n"/>
      <c r="J83" s="21" t="n"/>
      <c r="K83" s="21" t="inlineStr">
        <is>
          <t>P</t>
        </is>
      </c>
      <c r="L83" s="21" t="n"/>
      <c r="M83" s="21" t="n"/>
      <c r="N83" s="21" t="n"/>
      <c r="O83" s="21" t="n"/>
      <c r="P83" s="21" t="n"/>
      <c r="Q83" s="21" t="n"/>
      <c r="R83" s="21" t="n"/>
      <c r="S83" s="22">
        <f>SUM(E83:R83)</f>
        <v/>
      </c>
    </row>
    <row r="84">
      <c r="A84" s="17" t="inlineStr">
        <is>
          <t>9.9</t>
        </is>
      </c>
      <c r="B84" s="18" t="inlineStr">
        <is>
          <t>SUMINISTRO E INSTALACIÓN DE CAJA DE INSPECCIÓN SANITARIA DE 60 × 60 CM, CON MARCO Y TAPA.</t>
        </is>
      </c>
      <c r="C84" s="19" t="n">
        <v>0.002690717626961526</v>
      </c>
      <c r="D84" s="20" t="n">
        <v>2</v>
      </c>
      <c r="E84" s="21" t="n"/>
      <c r="F84" s="21" t="n"/>
      <c r="G84" s="21" t="n"/>
      <c r="H84" s="21" t="n"/>
      <c r="I84" s="21" t="n"/>
      <c r="J84" s="21" t="n"/>
      <c r="K84" s="21" t="inlineStr">
        <is>
          <t>P</t>
        </is>
      </c>
      <c r="L84" s="21" t="n"/>
      <c r="M84" s="21" t="n"/>
      <c r="N84" s="21" t="n"/>
      <c r="O84" s="21" t="n"/>
      <c r="P84" s="21" t="n"/>
      <c r="Q84" s="21" t="n"/>
      <c r="R84" s="21" t="n"/>
      <c r="S84" s="22">
        <f>SUM(E84:R84)</f>
        <v/>
      </c>
    </row>
    <row r="85">
      <c r="A85" s="17" t="inlineStr">
        <is>
          <t>9.10</t>
        </is>
      </c>
      <c r="B85" s="18" t="inlineStr">
        <is>
          <t>SUMINISTRO E INSTALACIÓN DE BRIDA PARA CONEXIÓN SANITARIA.</t>
        </is>
      </c>
      <c r="C85" s="19" t="n">
        <v>0.0001805356719674787</v>
      </c>
      <c r="D85" s="20" t="n">
        <v>1</v>
      </c>
      <c r="E85" s="21" t="n"/>
      <c r="F85" s="21" t="n"/>
      <c r="G85" s="21" t="n"/>
      <c r="H85" s="21" t="n"/>
      <c r="I85" s="21" t="n"/>
      <c r="J85" s="21" t="n"/>
      <c r="K85" s="21" t="inlineStr">
        <is>
          <t>P</t>
        </is>
      </c>
      <c r="L85" s="21" t="n"/>
      <c r="M85" s="21" t="n"/>
      <c r="N85" s="21" t="n"/>
      <c r="O85" s="21" t="n"/>
      <c r="P85" s="21" t="n"/>
      <c r="Q85" s="21" t="n"/>
      <c r="R85" s="21" t="n"/>
      <c r="S85" s="22">
        <f>SUM(E85:R85)</f>
        <v/>
      </c>
    </row>
    <row r="86">
      <c r="A86" s="12" t="inlineStr">
        <is>
          <t>10</t>
        </is>
      </c>
      <c r="B86" s="13" t="inlineStr">
        <is>
          <t>RED PLUVIAL</t>
        </is>
      </c>
      <c r="C86" s="14">
        <f>SUM(C87:C91)</f>
        <v/>
      </c>
      <c r="D86" s="15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</row>
    <row r="87">
      <c r="A87" s="17" t="inlineStr">
        <is>
          <t>10.1</t>
        </is>
      </c>
      <c r="B87" s="18" t="inlineStr">
        <is>
          <t>SUMINISTRO E INSTALACIÓN DE TUBERÍA PVC DE Ø 3" PARA DRENAJE PLUVIAL, INCLUYE CAMA DE ARENA.</t>
        </is>
      </c>
      <c r="C87" s="19" t="n">
        <v>0.001472245932673112</v>
      </c>
      <c r="D87" s="20" t="n">
        <v>11</v>
      </c>
      <c r="E87" s="21" t="n"/>
      <c r="F87" s="21" t="n"/>
      <c r="G87" s="21" t="n"/>
      <c r="H87" s="21" t="n"/>
      <c r="I87" s="21" t="n"/>
      <c r="J87" s="21" t="n"/>
      <c r="K87" s="21" t="inlineStr">
        <is>
          <t>P</t>
        </is>
      </c>
      <c r="L87" s="21" t="inlineStr">
        <is>
          <t>P</t>
        </is>
      </c>
      <c r="M87" s="21" t="inlineStr">
        <is>
          <t>P</t>
        </is>
      </c>
      <c r="N87" s="21" t="n"/>
      <c r="O87" s="21" t="n"/>
      <c r="P87" s="21" t="n"/>
      <c r="Q87" s="21" t="n"/>
      <c r="R87" s="21" t="n"/>
      <c r="S87" s="22">
        <f>SUM(E87:R87)</f>
        <v/>
      </c>
    </row>
    <row r="88">
      <c r="A88" s="17" t="inlineStr">
        <is>
          <t>10.2</t>
        </is>
      </c>
      <c r="B88" s="18" t="inlineStr">
        <is>
          <t>SUMINISTRO E INSTALACIÓN DE TUBERÍA PVC DE Ø 4" PARA DRENAJE PLUVIAL, INCLUYE CAMA DE ARENA.</t>
        </is>
      </c>
      <c r="C88" s="19" t="n">
        <v>0.001724027850899767</v>
      </c>
      <c r="D88" s="20" t="n">
        <v>3</v>
      </c>
      <c r="E88" s="21" t="n"/>
      <c r="F88" s="21" t="n"/>
      <c r="G88" s="21" t="n"/>
      <c r="H88" s="21" t="n"/>
      <c r="I88" s="21" t="n"/>
      <c r="J88" s="21" t="n"/>
      <c r="K88" s="21" t="inlineStr">
        <is>
          <t>P</t>
        </is>
      </c>
      <c r="L88" s="21" t="inlineStr">
        <is>
          <t>P</t>
        </is>
      </c>
      <c r="M88" s="21" t="n"/>
      <c r="N88" s="21" t="n"/>
      <c r="O88" s="21" t="n"/>
      <c r="P88" s="21" t="n"/>
      <c r="Q88" s="21" t="n"/>
      <c r="R88" s="21" t="n"/>
      <c r="S88" s="22">
        <f>SUM(E88:R88)</f>
        <v/>
      </c>
    </row>
    <row r="89">
      <c r="A89" s="17" t="inlineStr">
        <is>
          <t>10.3</t>
        </is>
      </c>
      <c r="B89" s="18" t="inlineStr">
        <is>
          <t>SUMINISTRO E INSTALACIÓN DE REJILLA CAPTADORA TIPO DOMO.</t>
        </is>
      </c>
      <c r="C89" s="19" t="n">
        <v>5.864637185040539e-05</v>
      </c>
      <c r="D89" s="20" t="n">
        <v>1</v>
      </c>
      <c r="E89" s="21" t="n"/>
      <c r="F89" s="21" t="n"/>
      <c r="G89" s="21" t="n"/>
      <c r="H89" s="21" t="n"/>
      <c r="I89" s="21" t="n"/>
      <c r="J89" s="21" t="n"/>
      <c r="K89" s="21" t="inlineStr">
        <is>
          <t>P</t>
        </is>
      </c>
      <c r="L89" s="21" t="n"/>
      <c r="M89" s="21" t="n"/>
      <c r="N89" s="21" t="n"/>
      <c r="O89" s="21" t="n"/>
      <c r="P89" s="21" t="n"/>
      <c r="Q89" s="21" t="n"/>
      <c r="R89" s="21" t="n"/>
      <c r="S89" s="22">
        <f>SUM(E89:R89)</f>
        <v/>
      </c>
    </row>
    <row r="90">
      <c r="A90" s="17" t="inlineStr">
        <is>
          <t>10.4</t>
        </is>
      </c>
      <c r="B90" s="18" t="inlineStr">
        <is>
          <t>SUMINISTRO E INSTALACIÓN DE CÁRCAMO PARA RECOLECCIÓN DE AGUAS LLUVIAS DE 0,40 × 0,40 M.</t>
        </is>
      </c>
      <c r="C90" s="19" t="n">
        <v>0.007318762957707273</v>
      </c>
      <c r="D90" s="20" t="n">
        <v>3</v>
      </c>
      <c r="E90" s="21" t="n"/>
      <c r="F90" s="21" t="n"/>
      <c r="G90" s="21" t="n"/>
      <c r="H90" s="21" t="n"/>
      <c r="I90" s="21" t="n"/>
      <c r="J90" s="21" t="n"/>
      <c r="K90" s="21" t="inlineStr">
        <is>
          <t>P</t>
        </is>
      </c>
      <c r="L90" s="21" t="inlineStr">
        <is>
          <t>P</t>
        </is>
      </c>
      <c r="M90" s="21" t="n"/>
      <c r="N90" s="21" t="n"/>
      <c r="O90" s="21" t="n"/>
      <c r="P90" s="21" t="n"/>
      <c r="Q90" s="21" t="n"/>
      <c r="R90" s="21" t="n"/>
      <c r="S90" s="22">
        <f>SUM(E90:R90)</f>
        <v/>
      </c>
    </row>
    <row r="91">
      <c r="A91" s="17" t="inlineStr">
        <is>
          <t>10.5</t>
        </is>
      </c>
      <c r="B91" s="18" t="inlineStr">
        <is>
          <t>SUMINISTRO E INSTALACIÓN DE VIGA CANAL FABRICADA EN LÁMINA GALVANIZADA.</t>
        </is>
      </c>
      <c r="C91" s="19" t="n">
        <v>0.002515929352382392</v>
      </c>
      <c r="D91" s="20" t="n">
        <v>2</v>
      </c>
      <c r="E91" s="21" t="n"/>
      <c r="F91" s="21" t="n"/>
      <c r="G91" s="21" t="n"/>
      <c r="H91" s="21" t="n"/>
      <c r="I91" s="21" t="n"/>
      <c r="J91" s="21" t="n"/>
      <c r="K91" s="21" t="inlineStr">
        <is>
          <t>P</t>
        </is>
      </c>
      <c r="L91" s="21" t="n"/>
      <c r="M91" s="21" t="n"/>
      <c r="N91" s="21" t="n"/>
      <c r="O91" s="21" t="n"/>
      <c r="P91" s="21" t="n"/>
      <c r="Q91" s="21" t="n"/>
      <c r="R91" s="21" t="n"/>
      <c r="S91" s="22">
        <f>SUM(E91:R91)</f>
        <v/>
      </c>
    </row>
    <row r="92">
      <c r="A92" s="12" t="inlineStr">
        <is>
          <t>11</t>
        </is>
      </c>
      <c r="B92" s="13" t="inlineStr">
        <is>
          <t>DOTACIÓN SANITARIA, GRIFERÍAS Y ACCESORIOS</t>
        </is>
      </c>
      <c r="C92" s="14">
        <f>SUM(C93:C105)</f>
        <v/>
      </c>
      <c r="D92" s="15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</row>
    <row r="93">
      <c r="A93" s="17" t="inlineStr">
        <is>
          <t>11.1</t>
        </is>
      </c>
      <c r="B93" s="18" t="inlineStr">
        <is>
          <t>SUMINISTRO E INSTALACIÓN DE GRIFERÍA CON SIFÓN PARA LAVAMANOS DE EMPOTRAR.</t>
        </is>
      </c>
      <c r="C93" s="19" t="n">
        <v>0.0007360692629458116</v>
      </c>
      <c r="D93" s="20" t="n">
        <v>2</v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inlineStr">
        <is>
          <t>P</t>
        </is>
      </c>
      <c r="Q93" s="21" t="n"/>
      <c r="R93" s="21" t="n"/>
      <c r="S93" s="22">
        <f>SUM(E93:R93)</f>
        <v/>
      </c>
    </row>
    <row r="94">
      <c r="A94" s="17" t="inlineStr">
        <is>
          <t>11.2</t>
        </is>
      </c>
      <c r="B94" s="18" t="inlineStr">
        <is>
          <t>SUMINISTRO E INSTALACIÓN DE APARATO SANITARIO PARA PERSONAS CON MOVILIDAD REDUCIDA, INCLUYE ACCESORIOS DE FIJACIÓN.</t>
        </is>
      </c>
      <c r="C94" s="19" t="n">
        <v>0.00175864838467116</v>
      </c>
      <c r="D94" s="20" t="n">
        <v>1</v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inlineStr">
        <is>
          <t>P</t>
        </is>
      </c>
      <c r="Q94" s="21" t="n"/>
      <c r="R94" s="21" t="n"/>
      <c r="S94" s="22">
        <f>SUM(E94:R94)</f>
        <v/>
      </c>
    </row>
    <row r="95">
      <c r="A95" s="17" t="inlineStr">
        <is>
          <t>11.3</t>
        </is>
      </c>
      <c r="B95" s="18" t="inlineStr">
        <is>
          <t>SUMINISTRO E INSTALACIÓN DE APARATO SANITARIO CONVENCIONAL, INCLUYE ELEMENTOS DE ANCLAJE Y FIJACIÓN.</t>
        </is>
      </c>
      <c r="C95" s="19" t="n">
        <v>0.001893303207683948</v>
      </c>
      <c r="D95" s="20" t="n">
        <v>2</v>
      </c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inlineStr">
        <is>
          <t>P</t>
        </is>
      </c>
      <c r="Q95" s="21" t="n"/>
      <c r="R95" s="21" t="n"/>
      <c r="S95" s="22">
        <f>SUM(E95:R95)</f>
        <v/>
      </c>
    </row>
    <row r="96">
      <c r="A96" s="17" t="inlineStr">
        <is>
          <t>11.4</t>
        </is>
      </c>
      <c r="B96" s="18" t="inlineStr">
        <is>
          <t>SUMINISTRO E INSTALACIÓN DE FLOTADOR MECÁNICO DE Ø 1".</t>
        </is>
      </c>
      <c r="C96" s="19" t="n">
        <v>0.0001494187171528295</v>
      </c>
      <c r="D96" s="20" t="n">
        <v>1</v>
      </c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inlineStr">
        <is>
          <t>P</t>
        </is>
      </c>
      <c r="Q96" s="21" t="n"/>
      <c r="R96" s="21" t="n"/>
      <c r="S96" s="22">
        <f>SUM(E96:R96)</f>
        <v/>
      </c>
    </row>
    <row r="97">
      <c r="A97" s="17" t="inlineStr">
        <is>
          <t>11.5</t>
        </is>
      </c>
      <c r="B97" s="18" t="inlineStr">
        <is>
          <t>SUMINISTRO E INSTALACIÓN DE REJILLA DE PISO CON SOSCO.</t>
        </is>
      </c>
      <c r="C97" s="19" t="n">
        <v>0.000939931116141054</v>
      </c>
      <c r="D97" s="20" t="n">
        <v>3</v>
      </c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inlineStr">
        <is>
          <t>P</t>
        </is>
      </c>
      <c r="Q97" s="21" t="n"/>
      <c r="R97" s="21" t="n"/>
      <c r="S97" s="22">
        <f>SUM(E97:R97)</f>
        <v/>
      </c>
    </row>
    <row r="98">
      <c r="A98" s="17" t="inlineStr">
        <is>
          <t>11.6</t>
        </is>
      </c>
      <c r="B98" s="18" t="inlineStr">
        <is>
          <t>SUMINISTRO E INSTALACIÓN DE GRIFERÍA MONOCONTROL TIPO CUELLO DE GANSO PARA POCETA Y LAVAMANOS.</t>
        </is>
      </c>
      <c r="C98" s="19" t="n">
        <v>0.001707127923302507</v>
      </c>
      <c r="D98" s="20" t="n">
        <v>4</v>
      </c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inlineStr">
        <is>
          <t>P</t>
        </is>
      </c>
      <c r="Q98" s="21" t="n"/>
      <c r="R98" s="21" t="n"/>
      <c r="S98" s="22">
        <f>SUM(E98:R98)</f>
        <v/>
      </c>
    </row>
    <row r="99">
      <c r="A99" s="17" t="inlineStr">
        <is>
          <t>11.7</t>
        </is>
      </c>
      <c r="B99" s="18" t="inlineStr">
        <is>
          <t>SUMINISTRO E INSTALACIÓN DE BARRA DE APOYO DE 1,00 M PARA BAÑO ACCESIBLE.</t>
        </is>
      </c>
      <c r="C99" s="19" t="n">
        <v>0.001678946501719965</v>
      </c>
      <c r="D99" s="20" t="n">
        <v>2</v>
      </c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inlineStr">
        <is>
          <t>P</t>
        </is>
      </c>
      <c r="Q99" s="21" t="n"/>
      <c r="R99" s="21" t="n"/>
      <c r="S99" s="22">
        <f>SUM(E99:R99)</f>
        <v/>
      </c>
    </row>
    <row r="100">
      <c r="A100" s="17" t="inlineStr">
        <is>
          <t>11.8</t>
        </is>
      </c>
      <c r="B100" s="18" t="inlineStr">
        <is>
          <t>SUMINISTRO E INSTALACIÓN DE ESPEJO PARA BAÑO DE 1,00 × 0,60 M.</t>
        </is>
      </c>
      <c r="C100" s="19" t="n">
        <v>0.0005096648441962051</v>
      </c>
      <c r="D100" s="20" t="n">
        <v>1</v>
      </c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inlineStr">
        <is>
          <t>P</t>
        </is>
      </c>
      <c r="Q100" s="21" t="n"/>
      <c r="R100" s="21" t="n"/>
      <c r="S100" s="22">
        <f>SUM(E100:R100)</f>
        <v/>
      </c>
    </row>
    <row r="101">
      <c r="A101" s="17" t="inlineStr">
        <is>
          <t>11.9</t>
        </is>
      </c>
      <c r="B101" s="18" t="inlineStr">
        <is>
          <t>SUMINISTRO E INSTALACIÓN DE ORINAL, INCLUYE SUS RESPECTIVOS ACCESORIOS.</t>
        </is>
      </c>
      <c r="C101" s="19" t="n">
        <v>0.001088275765478992</v>
      </c>
      <c r="D101" s="20" t="n">
        <v>2</v>
      </c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inlineStr">
        <is>
          <t>P</t>
        </is>
      </c>
      <c r="Q101" s="21" t="n"/>
      <c r="R101" s="21" t="n"/>
      <c r="S101" s="22">
        <f>SUM(E101:R101)</f>
        <v/>
      </c>
    </row>
    <row r="102">
      <c r="A102" s="17" t="inlineStr">
        <is>
          <t>11.10</t>
        </is>
      </c>
      <c r="B102" s="18" t="inlineStr">
        <is>
          <t>SUMINISTRO E INSTALACIÓN DE LLAVE TERMINAL TIPO JARDÍN.</t>
        </is>
      </c>
      <c r="C102" s="19" t="n">
        <v>0.0002174609132261759</v>
      </c>
      <c r="D102" s="20" t="n">
        <v>1</v>
      </c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inlineStr">
        <is>
          <t>P</t>
        </is>
      </c>
      <c r="Q102" s="21" t="n"/>
      <c r="R102" s="21" t="n"/>
      <c r="S102" s="22">
        <f>SUM(E102:R102)</f>
        <v/>
      </c>
    </row>
    <row r="103">
      <c r="A103" s="17" t="inlineStr">
        <is>
          <t>11.11</t>
        </is>
      </c>
      <c r="B103" s="18" t="inlineStr">
        <is>
          <t>SUMINISTRO E INSTALACIÓN DE POCETA PARA COCINA EN ACERO INOXIDABLE.</t>
        </is>
      </c>
      <c r="C103" s="19" t="n">
        <v>0.0002142258512231556</v>
      </c>
      <c r="D103" s="20" t="n">
        <v>1</v>
      </c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inlineStr">
        <is>
          <t>P</t>
        </is>
      </c>
      <c r="Q103" s="21" t="n"/>
      <c r="R103" s="21" t="n"/>
      <c r="S103" s="22">
        <f>SUM(E103:R103)</f>
        <v/>
      </c>
    </row>
    <row r="104">
      <c r="A104" s="17" t="inlineStr">
        <is>
          <t>11.12</t>
        </is>
      </c>
      <c r="B104" s="18" t="inlineStr">
        <is>
          <t>SUMINISTRO E INSTALACIÓN DE LAVAMANOS DE EMPOTRAR.</t>
        </is>
      </c>
      <c r="C104" s="19" t="n">
        <v>0.001673648775680882</v>
      </c>
      <c r="D104" s="20" t="n">
        <v>2</v>
      </c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inlineStr">
        <is>
          <t>P</t>
        </is>
      </c>
      <c r="Q104" s="21" t="n"/>
      <c r="R104" s="21" t="n"/>
      <c r="S104" s="22">
        <f>SUM(E104:R104)</f>
        <v/>
      </c>
    </row>
    <row r="105">
      <c r="A105" s="17" t="inlineStr">
        <is>
          <t>11.13</t>
        </is>
      </c>
      <c r="B105" s="18" t="inlineStr">
        <is>
          <t>SUMINISTRO E INSTALACIÓN DE MESÓN PARA LAVAMANOS.</t>
        </is>
      </c>
      <c r="C105" s="19" t="n">
        <v>0.0008516900915071611</v>
      </c>
      <c r="D105" s="20" t="n">
        <v>3</v>
      </c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inlineStr">
        <is>
          <t>P</t>
        </is>
      </c>
      <c r="Q105" s="21" t="n"/>
      <c r="R105" s="21" t="n"/>
      <c r="S105" s="22">
        <f>SUM(E105:R105)</f>
        <v/>
      </c>
    </row>
    <row r="106">
      <c r="A106" s="12" t="inlineStr">
        <is>
          <t>12</t>
        </is>
      </c>
      <c r="B106" s="13" t="inlineStr">
        <is>
          <t>REDES ELÉCTRICAS</t>
        </is>
      </c>
      <c r="C106" s="14">
        <f>SUM(C107:C118)</f>
        <v/>
      </c>
      <c r="D106" s="15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</row>
    <row r="107">
      <c r="A107" s="17" t="inlineStr">
        <is>
          <t>12.1</t>
        </is>
      </c>
      <c r="B107" s="18" t="inlineStr">
        <is>
          <t>SUMINISTRO E INSTALACIÓN DE POSTE METÁLICO GALVANIZADO CON BRAZO SENCILLO DE 1,00 M, INCLUYE PLANTILLA DE ANCLAJE.</t>
        </is>
      </c>
      <c r="C107" s="19" t="n">
        <v>0.01430074399608722</v>
      </c>
      <c r="D107" s="20" t="n">
        <v>7</v>
      </c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inlineStr">
        <is>
          <t>P</t>
        </is>
      </c>
      <c r="P107" s="21" t="inlineStr">
        <is>
          <t>P</t>
        </is>
      </c>
      <c r="Q107" s="21" t="n"/>
      <c r="R107" s="21" t="n"/>
      <c r="S107" s="22">
        <f>SUM(E107:R107)</f>
        <v/>
      </c>
    </row>
    <row r="108">
      <c r="A108" s="17" t="inlineStr">
        <is>
          <t>12.2</t>
        </is>
      </c>
      <c r="B108" s="18" t="inlineStr">
        <is>
          <t>CONSTRUCCIÓN DE DADO EN CONCRETO DE 3.000 PSI PARA EL ANCLAJE DE POSTE METÁLICO.</t>
        </is>
      </c>
      <c r="C108" s="19" t="n">
        <v>0.005200462390971765</v>
      </c>
      <c r="D108" s="20" t="n">
        <v>5</v>
      </c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inlineStr">
        <is>
          <t>P</t>
        </is>
      </c>
      <c r="P108" s="21" t="inlineStr">
        <is>
          <t>P</t>
        </is>
      </c>
      <c r="Q108" s="21" t="n"/>
      <c r="R108" s="21" t="n"/>
      <c r="S108" s="22">
        <f>SUM(E108:R108)</f>
        <v/>
      </c>
    </row>
    <row r="109">
      <c r="A109" s="17" t="inlineStr">
        <is>
          <t>12.3</t>
        </is>
      </c>
      <c r="B109" s="18" t="inlineStr">
        <is>
          <t>SUMINISTRO E INSTALACIÓN DE TABLERO GENERAL DE DISTRIBUCIÓN, INCLUYE SISTEMA DE PROTECCIONES.</t>
        </is>
      </c>
      <c r="C109" s="19" t="n">
        <v>0.0005995121296834097</v>
      </c>
      <c r="D109" s="20" t="n">
        <v>2</v>
      </c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inlineStr">
        <is>
          <t>P</t>
        </is>
      </c>
      <c r="P109" s="21" t="n"/>
      <c r="Q109" s="21" t="n"/>
      <c r="R109" s="21" t="n"/>
      <c r="S109" s="22">
        <f>SUM(E109:R109)</f>
        <v/>
      </c>
    </row>
    <row r="110">
      <c r="A110" s="17" t="inlineStr">
        <is>
          <t>12.4</t>
        </is>
      </c>
      <c r="B110" s="18" t="inlineStr">
        <is>
          <t>SUMINISTRO E INSTALACIÓN DE TABLERO SECUNDARIO DE 8 A 12 CIRCUITOS, INCLUYE BREAKERS.</t>
        </is>
      </c>
      <c r="C110" s="19" t="n">
        <v>0.0003443075657790209</v>
      </c>
      <c r="D110" s="20" t="n">
        <v>1</v>
      </c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inlineStr">
        <is>
          <t>P</t>
        </is>
      </c>
      <c r="P110" s="21" t="n"/>
      <c r="Q110" s="21" t="n"/>
      <c r="R110" s="21" t="n"/>
      <c r="S110" s="22">
        <f>SUM(E110:R110)</f>
        <v/>
      </c>
    </row>
    <row r="111">
      <c r="A111" s="17" t="inlineStr">
        <is>
          <t>12.5</t>
        </is>
      </c>
      <c r="B111" s="18" t="inlineStr">
        <is>
          <t>CONSTRUCCIÓN DE RED ELÉCTRICA SUBTERRÁNEA EN BAJA TENSIÓN, CON CONDUCTOR #6 AWG Y DUCTERÍA EN PVC SCH 40.</t>
        </is>
      </c>
      <c r="C111" s="19" t="n">
        <v>0.001260084258257589</v>
      </c>
      <c r="D111" s="20" t="n">
        <v>2</v>
      </c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inlineStr">
        <is>
          <t>P</t>
        </is>
      </c>
      <c r="P111" s="21" t="n"/>
      <c r="Q111" s="21" t="n"/>
      <c r="R111" s="21" t="n"/>
      <c r="S111" s="22">
        <f>SUM(E111:R111)</f>
        <v/>
      </c>
    </row>
    <row r="112">
      <c r="A112" s="17" t="inlineStr">
        <is>
          <t>12.6</t>
        </is>
      </c>
      <c r="B112" s="18" t="inlineStr">
        <is>
          <t>CONSTRUCCIÓN DE SALIDA PARA TOMACORRIENTE NORMAL, INCLUYE APARATO Y ELEMENTOS DE FIJACIÓN.</t>
        </is>
      </c>
      <c r="C112" s="19" t="n">
        <v>0.001353221065524343</v>
      </c>
      <c r="D112" s="20" t="n">
        <v>3</v>
      </c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inlineStr">
        <is>
          <t>P</t>
        </is>
      </c>
      <c r="P112" s="21" t="inlineStr">
        <is>
          <t>P</t>
        </is>
      </c>
      <c r="Q112" s="21" t="n"/>
      <c r="R112" s="21" t="n"/>
      <c r="S112" s="22">
        <f>SUM(E112:R112)</f>
        <v/>
      </c>
    </row>
    <row r="113">
      <c r="A113" s="17" t="inlineStr">
        <is>
          <t>12.7</t>
        </is>
      </c>
      <c r="B113" s="18" t="inlineStr">
        <is>
          <t>SUMINISTRO E INSTALACIÓN DE SISTEMA DE PUESTA A TIERRA CON ELECTRODO DE DIFUSIÓN VERTICAL DE 2,40 M.</t>
        </is>
      </c>
      <c r="C113" s="19" t="n">
        <v>0.004559690173095052</v>
      </c>
      <c r="D113" s="20" t="n">
        <v>8</v>
      </c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inlineStr">
        <is>
          <t>P</t>
        </is>
      </c>
      <c r="P113" s="21" t="inlineStr">
        <is>
          <t>P</t>
        </is>
      </c>
      <c r="Q113" s="21" t="n"/>
      <c r="R113" s="21" t="n"/>
      <c r="S113" s="22">
        <f>SUM(E113:R113)</f>
        <v/>
      </c>
    </row>
    <row r="114">
      <c r="A114" s="17" t="inlineStr">
        <is>
          <t>12.8</t>
        </is>
      </c>
      <c r="B114" s="18" t="inlineStr">
        <is>
          <t>CONSTRUCCIÓN DE PUNTO DE ILUMINACIÓN INTERIOR A 110 V, CON CONDUCTOR #12 AWG Y CANALIZACIÓN EN PVC SCH 40.</t>
        </is>
      </c>
      <c r="C114" s="19" t="n">
        <v>0.002992796174356486</v>
      </c>
      <c r="D114" s="20" t="n">
        <v>6</v>
      </c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inlineStr">
        <is>
          <t>P</t>
        </is>
      </c>
      <c r="P114" s="21" t="inlineStr">
        <is>
          <t>P</t>
        </is>
      </c>
      <c r="Q114" s="21" t="n"/>
      <c r="R114" s="21" t="n"/>
      <c r="S114" s="22">
        <f>SUM(E114:R114)</f>
        <v/>
      </c>
    </row>
    <row r="115">
      <c r="A115" s="17" t="inlineStr">
        <is>
          <t>12.9</t>
        </is>
      </c>
      <c r="B115" s="18" t="inlineStr">
        <is>
          <t>CONSTRUCCIÓN DE PUNTO PARA INTERRUPTOR SENCILLO, CON CONDUCTOR #12 AWG Y CAJA DE CONEXIÓN.</t>
        </is>
      </c>
      <c r="C115" s="19" t="n">
        <v>0.0001959961974156284</v>
      </c>
      <c r="D115" s="20" t="n">
        <v>1</v>
      </c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inlineStr">
        <is>
          <t>P</t>
        </is>
      </c>
      <c r="P115" s="21" t="n"/>
      <c r="Q115" s="21" t="n"/>
      <c r="R115" s="21" t="n"/>
      <c r="S115" s="22">
        <f>SUM(E115:R115)</f>
        <v/>
      </c>
    </row>
    <row r="116">
      <c r="A116" s="17" t="inlineStr">
        <is>
          <t>12.10</t>
        </is>
      </c>
      <c r="B116" s="18" t="inlineStr">
        <is>
          <t>SUMINISTRO E INSTALACIÓN DE PANEL LED REDONDO DE SOBREPONER DE 18 W PARA ILUMINACIÓN INTERIOR.</t>
        </is>
      </c>
      <c r="C116" s="19" t="n">
        <v>0.001826148252136565</v>
      </c>
      <c r="D116" s="20" t="n">
        <v>5</v>
      </c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inlineStr">
        <is>
          <t>P</t>
        </is>
      </c>
      <c r="P116" s="21" t="inlineStr">
        <is>
          <t>P</t>
        </is>
      </c>
      <c r="Q116" s="21" t="n"/>
      <c r="R116" s="21" t="n"/>
      <c r="S116" s="22">
        <f>SUM(E116:R116)</f>
        <v/>
      </c>
    </row>
    <row r="117">
      <c r="A117" s="17" t="inlineStr">
        <is>
          <t>12.11</t>
        </is>
      </c>
      <c r="B117" s="18" t="inlineStr">
        <is>
          <t>CONSTRUCCIÓN DE PUNTO PARA INTERRUPTOR DOBLE O CONMUTABLE, CON CANALIZACIÓN EN PVC SCH 40.</t>
        </is>
      </c>
      <c r="C117" s="19" t="n">
        <v>0.0002341074515854166</v>
      </c>
      <c r="D117" s="20" t="n">
        <v>1</v>
      </c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inlineStr">
        <is>
          <t>P</t>
        </is>
      </c>
      <c r="P117" s="21" t="n"/>
      <c r="Q117" s="21" t="n"/>
      <c r="R117" s="21" t="n"/>
      <c r="S117" s="22">
        <f>SUM(E117:R117)</f>
        <v/>
      </c>
    </row>
    <row r="118">
      <c r="A118" s="17" t="inlineStr">
        <is>
          <t>12.12</t>
        </is>
      </c>
      <c r="B118" s="18" t="inlineStr">
        <is>
          <t>SUMINISTRO E INSTALACIÓN DE REGISTRO ELÉCTRICO DE 40 × 40 CM.</t>
        </is>
      </c>
      <c r="C118" s="19" t="n">
        <v>0.001234367141563015</v>
      </c>
      <c r="D118" s="20" t="n">
        <v>3</v>
      </c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inlineStr">
        <is>
          <t>P</t>
        </is>
      </c>
      <c r="P118" s="21" t="inlineStr">
        <is>
          <t>P</t>
        </is>
      </c>
      <c r="Q118" s="21" t="n"/>
      <c r="R118" s="21" t="n"/>
      <c r="S118" s="22">
        <f>SUM(E118:R118)</f>
        <v/>
      </c>
    </row>
    <row r="119">
      <c r="A119" s="12" t="inlineStr">
        <is>
          <t>13</t>
        </is>
      </c>
      <c r="B119" s="13" t="inlineStr">
        <is>
          <t>SISTEMA SOLAR FOTOVOLTAICO</t>
        </is>
      </c>
      <c r="C119" s="14">
        <f>SUM(C120:C131)</f>
        <v/>
      </c>
      <c r="D119" s="15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</row>
    <row r="120">
      <c r="A120" s="17" t="inlineStr">
        <is>
          <t>13.1</t>
        </is>
      </c>
      <c r="B120" s="18" t="inlineStr">
        <is>
          <t>SUMINISTRO E INSTALACIÓN DE LUMINARIA SOLAR LED DE 35 W PARA ALUMBRADO EXTERIOR, INCLUYE MONTAJE Y CONEXIÓN.</t>
        </is>
      </c>
      <c r="C120" s="19" t="n">
        <v>0.07200884953546464</v>
      </c>
      <c r="D120" s="20" t="n">
        <v>7</v>
      </c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inlineStr">
        <is>
          <t>P</t>
        </is>
      </c>
      <c r="P120" s="21" t="inlineStr">
        <is>
          <t>P</t>
        </is>
      </c>
      <c r="Q120" s="21" t="n"/>
      <c r="R120" s="21" t="n"/>
      <c r="S120" s="22">
        <f>SUM(E120:R120)</f>
        <v/>
      </c>
    </row>
    <row r="121">
      <c r="A121" s="17" t="inlineStr">
        <is>
          <t>13.2</t>
        </is>
      </c>
      <c r="B121" s="18" t="inlineStr">
        <is>
          <t>SUMINISTRO E INSTALACIÓN DE REFLECTOR SOLAR LED DE 35 W PARA ÁREAS EXTERIORES Y SALA POLIVALENTE.</t>
        </is>
      </c>
      <c r="C121" s="19" t="n">
        <v>0.003336035723406897</v>
      </c>
      <c r="D121" s="20" t="n">
        <v>3</v>
      </c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inlineStr">
        <is>
          <t>P</t>
        </is>
      </c>
      <c r="P121" s="21" t="n"/>
      <c r="Q121" s="21" t="n"/>
      <c r="R121" s="21" t="n"/>
      <c r="S121" s="22">
        <f>SUM(E121:R121)</f>
        <v/>
      </c>
    </row>
    <row r="122">
      <c r="A122" s="17" t="inlineStr">
        <is>
          <t>13.3</t>
        </is>
      </c>
      <c r="B122" s="18" t="inlineStr">
        <is>
          <t>SUMINISTRO E INSTALACIÓN DE MÓDULO FOTOVOLTAICO DE 630 W, INCLUYE ESTRUCTURA DE SOPORTE.</t>
        </is>
      </c>
      <c r="C122" s="19" t="n">
        <v>0.008393894433149893</v>
      </c>
      <c r="D122" s="20" t="n">
        <v>3</v>
      </c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inlineStr">
        <is>
          <t>P</t>
        </is>
      </c>
      <c r="P122" s="21" t="n"/>
      <c r="Q122" s="21" t="n"/>
      <c r="R122" s="21" t="n"/>
      <c r="S122" s="22">
        <f>SUM(E122:R122)</f>
        <v/>
      </c>
    </row>
    <row r="123">
      <c r="A123" s="17" t="inlineStr">
        <is>
          <t>13.4</t>
        </is>
      </c>
      <c r="B123" s="18" t="inlineStr">
        <is>
          <t>SUMINISTRO E INSTALACIÓN DE BANCO DE BATERÍAS DE LITIO DE 200 AH Y 51,2 V, INCLUYE SISTEMA BMS Y CABLEADO.</t>
        </is>
      </c>
      <c r="C123" s="19" t="n">
        <v>0.0123424173279984</v>
      </c>
      <c r="D123" s="20" t="n">
        <v>2</v>
      </c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inlineStr">
        <is>
          <t>P</t>
        </is>
      </c>
      <c r="P123" s="21" t="n"/>
      <c r="Q123" s="21" t="n"/>
      <c r="R123" s="21" t="n"/>
      <c r="S123" s="22">
        <f>SUM(E123:R123)</f>
        <v/>
      </c>
    </row>
    <row r="124">
      <c r="A124" s="17" t="inlineStr">
        <is>
          <t>13.5</t>
        </is>
      </c>
      <c r="B124" s="18" t="inlineStr">
        <is>
          <t>SUMINISTRO E INSTALACIÓN DE INVERSOR-CARGADOR HÍBRIDO DE 10 KW Y 48 V.</t>
        </is>
      </c>
      <c r="C124" s="19" t="n">
        <v>0.00952633556462289</v>
      </c>
      <c r="D124" s="20" t="n">
        <v>2</v>
      </c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inlineStr">
        <is>
          <t>P</t>
        </is>
      </c>
      <c r="P124" s="21" t="n"/>
      <c r="Q124" s="21" t="n"/>
      <c r="R124" s="21" t="n"/>
      <c r="S124" s="22">
        <f>SUM(E124:R124)</f>
        <v/>
      </c>
    </row>
    <row r="125">
      <c r="A125" s="17" t="inlineStr">
        <is>
          <t>13.6</t>
        </is>
      </c>
      <c r="B125" s="18" t="inlineStr">
        <is>
          <t>SUMINISTRO E INSTALACIÓN DE CABLEADO FOTOVOLTAICO DC DE 4 MM² PARA INTERCONEXIÓN DE STRINGS.</t>
        </is>
      </c>
      <c r="C125" s="19" t="n">
        <v>0.003137949632066942</v>
      </c>
      <c r="D125" s="20" t="n">
        <v>6</v>
      </c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inlineStr">
        <is>
          <t>P</t>
        </is>
      </c>
      <c r="P125" s="21" t="inlineStr">
        <is>
          <t>P</t>
        </is>
      </c>
      <c r="Q125" s="21" t="n"/>
      <c r="R125" s="21" t="n"/>
      <c r="S125" s="22">
        <f>SUM(E125:R125)</f>
        <v/>
      </c>
    </row>
    <row r="126">
      <c r="A126" s="17" t="inlineStr">
        <is>
          <t>13.7</t>
        </is>
      </c>
      <c r="B126" s="18" t="inlineStr">
        <is>
          <t>SUMINISTRO E INSTALACIÓN DE CABLEADO AC #6 AWG PARA LA SALIDA DEL INVERSOR.</t>
        </is>
      </c>
      <c r="C126" s="19" t="n">
        <v>0.0005878229437599407</v>
      </c>
      <c r="D126" s="20" t="n">
        <v>1</v>
      </c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inlineStr">
        <is>
          <t>P</t>
        </is>
      </c>
      <c r="P126" s="21" t="n"/>
      <c r="Q126" s="21" t="n"/>
      <c r="R126" s="21" t="n"/>
      <c r="S126" s="22">
        <f>SUM(E126:R126)</f>
        <v/>
      </c>
    </row>
    <row r="127">
      <c r="A127" s="17" t="inlineStr">
        <is>
          <t>13.8</t>
        </is>
      </c>
      <c r="B127" s="18" t="inlineStr">
        <is>
          <t>SUMINISTRO E INSTALACIÓN DE TABLERO DE PROTECCIONES DC/AC EN GABINETE IP65, INCLUYE BREAKERS, DPS Y FUSIBLES.</t>
        </is>
      </c>
      <c r="C127" s="19" t="n">
        <v>0.001890159668360929</v>
      </c>
      <c r="D127" s="20" t="n">
        <v>3</v>
      </c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inlineStr">
        <is>
          <t>P</t>
        </is>
      </c>
      <c r="P127" s="21" t="n"/>
      <c r="Q127" s="21" t="n"/>
      <c r="R127" s="21" t="n"/>
      <c r="S127" s="22">
        <f>SUM(E127:R127)</f>
        <v/>
      </c>
    </row>
    <row r="128">
      <c r="A128" s="17" t="inlineStr">
        <is>
          <t>13.9</t>
        </is>
      </c>
      <c r="B128" s="18" t="inlineStr">
        <is>
          <t>SUMINISTRO E INSTALACIÓN DE CANALIZACIÓN EN TUBERÍA IMC DE 1-1/4", INCLUYE ACCESORIOS Y SOPORTERÍA.</t>
        </is>
      </c>
      <c r="C128" s="19" t="n">
        <v>0.0007573267290512324</v>
      </c>
      <c r="D128" s="20" t="n">
        <v>1</v>
      </c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inlineStr">
        <is>
          <t>P</t>
        </is>
      </c>
      <c r="P128" s="21" t="n"/>
      <c r="Q128" s="21" t="n"/>
      <c r="R128" s="21" t="n"/>
      <c r="S128" s="22">
        <f>SUM(E128:R128)</f>
        <v/>
      </c>
    </row>
    <row r="129">
      <c r="A129" s="17" t="inlineStr">
        <is>
          <t>13.10</t>
        </is>
      </c>
      <c r="B129" s="18" t="inlineStr">
        <is>
          <t>SUMINISTRO E INSTALACIÓN DE SENSOR DE MOVIMIENTO PARA BAÑOS.</t>
        </is>
      </c>
      <c r="C129" s="19" t="n">
        <v>9.739979755177279e-05</v>
      </c>
      <c r="D129" s="20" t="n">
        <v>1</v>
      </c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inlineStr">
        <is>
          <t>P</t>
        </is>
      </c>
      <c r="P129" s="21" t="n"/>
      <c r="Q129" s="21" t="n"/>
      <c r="R129" s="21" t="n"/>
      <c r="S129" s="22">
        <f>SUM(E129:R129)</f>
        <v/>
      </c>
    </row>
    <row r="130">
      <c r="A130" s="17" t="inlineStr">
        <is>
          <t>13.11</t>
        </is>
      </c>
      <c r="B130" s="18" t="inlineStr">
        <is>
          <t>SUMINISTRO E INSTALACIÓN DE LUMINARIA APLIQUE 12W</t>
        </is>
      </c>
      <c r="C130" s="19" t="n">
        <v>0.0008060092309540607</v>
      </c>
      <c r="D130" s="20" t="n">
        <v>1</v>
      </c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inlineStr">
        <is>
          <t>P</t>
        </is>
      </c>
      <c r="P130" s="21" t="n"/>
      <c r="Q130" s="21" t="n"/>
      <c r="R130" s="21" t="n"/>
      <c r="S130" s="22">
        <f>SUM(E130:R130)</f>
        <v/>
      </c>
    </row>
    <row r="131">
      <c r="A131" s="17" t="inlineStr">
        <is>
          <t>13.12</t>
        </is>
      </c>
      <c r="B131" s="18" t="inlineStr">
        <is>
          <t>SUMINISTRO E INSTALACIÓN DE REFLECTOR LED DE 50W</t>
        </is>
      </c>
      <c r="C131" s="19" t="n">
        <v>8.140677651088839e-05</v>
      </c>
      <c r="D131" s="20" t="n">
        <v>1</v>
      </c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inlineStr">
        <is>
          <t>P</t>
        </is>
      </c>
      <c r="P131" s="21" t="n"/>
      <c r="Q131" s="21" t="n"/>
      <c r="R131" s="21" t="n"/>
      <c r="S131" s="22">
        <f>SUM(E131:R131)</f>
        <v/>
      </c>
    </row>
    <row r="132">
      <c r="A132" s="12" t="inlineStr">
        <is>
          <t>14</t>
        </is>
      </c>
      <c r="B132" s="13" t="inlineStr">
        <is>
          <t>MAQUINAS BIOSALUDABLES</t>
        </is>
      </c>
      <c r="C132" s="14">
        <f>SUM(C133:C138)</f>
        <v/>
      </c>
      <c r="D132" s="15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</row>
    <row r="133">
      <c r="A133" s="17" t="inlineStr">
        <is>
          <t>14.1</t>
        </is>
      </c>
      <c r="B133" s="18" t="inlineStr">
        <is>
          <t>Suministro e instalación de Máquina biosaludable BARRAS PARALELAS, instalado bajo sistema de empotramiento. Incluye perforación de plantilla de concreto de 40×40 cm con profundidad de 30–40 cm, suministro de cemento, arena, piedra y agua para relleno, aplome, nivelación y limpieza.</t>
        </is>
      </c>
      <c r="C133" s="19" t="n">
        <v>0.001795287712103076</v>
      </c>
      <c r="D133" s="20" t="n">
        <v>1</v>
      </c>
      <c r="E133" s="21" t="n"/>
      <c r="F133" s="21" t="n"/>
      <c r="G133" s="21" t="n"/>
      <c r="H133" s="21" t="n"/>
      <c r="I133" s="21" t="inlineStr">
        <is>
          <t>P</t>
        </is>
      </c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2">
        <f>SUM(E133:R133)</f>
        <v/>
      </c>
    </row>
    <row r="134">
      <c r="A134" s="17" t="inlineStr">
        <is>
          <t>14.2</t>
        </is>
      </c>
      <c r="B134" s="18" t="inlineStr">
        <is>
          <t>Suministro e instalación de Máquina biosaludable CAMINADOR AÉREO, instalado bajo sistema de empotramiento. Incluye perforación de plantilla de concreto de 40×40 cm con profundidad de 30–40 cm, suministro de cemento, arena, piedra y agua para relleno, aplome, nivelación y limpieza.</t>
        </is>
      </c>
      <c r="C134" s="19" t="n">
        <v>0.001974151771485408</v>
      </c>
      <c r="D134" s="20" t="n">
        <v>1</v>
      </c>
      <c r="E134" s="21" t="n"/>
      <c r="F134" s="21" t="n"/>
      <c r="G134" s="21" t="n"/>
      <c r="H134" s="21" t="n"/>
      <c r="I134" s="21" t="inlineStr">
        <is>
          <t>P</t>
        </is>
      </c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2">
        <f>SUM(E134:R134)</f>
        <v/>
      </c>
    </row>
    <row r="135">
      <c r="A135" s="17" t="inlineStr">
        <is>
          <t>14.3</t>
        </is>
      </c>
      <c r="B135" s="18" t="inlineStr">
        <is>
          <t>Suministro e instalación de Máquina biosaludable PONY, instalado bajo sistema de empotramiento. Incluye perforación de plantilla de concreto de 40×40 cm con profundidad de 30–40 cm, suministro de cemento, arena, piedra y agua para relleno, aplome, nivelación y limpieza.</t>
        </is>
      </c>
      <c r="C135" s="19" t="n">
        <v>0.003767344294963661</v>
      </c>
      <c r="D135" s="20" t="n">
        <v>1</v>
      </c>
      <c r="E135" s="21" t="n"/>
      <c r="F135" s="21" t="n"/>
      <c r="G135" s="21" t="n"/>
      <c r="H135" s="21" t="n"/>
      <c r="I135" s="21" t="inlineStr">
        <is>
          <t>P</t>
        </is>
      </c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2">
        <f>SUM(E135:R135)</f>
        <v/>
      </c>
    </row>
    <row r="136">
      <c r="A136" s="17" t="inlineStr">
        <is>
          <t>14.4</t>
        </is>
      </c>
      <c r="B136" s="18" t="inlineStr">
        <is>
          <t>Suministro e instalación de Máquina biosaludable GIRO DE CADERA TWISTER, instalado bajo sistema de empotramiento. Incluye perforación de plantilla de concreto de 40×40 cm con profundidad de 30–40 cm, suministro de cemento, arena, piedra y agua para relleno, aplome, nivelación y limpieza.</t>
        </is>
      </c>
      <c r="C136" s="19" t="n">
        <v>0.002138562811285388</v>
      </c>
      <c r="D136" s="20" t="n">
        <v>1</v>
      </c>
      <c r="E136" s="21" t="n"/>
      <c r="F136" s="21" t="n"/>
      <c r="G136" s="21" t="n"/>
      <c r="H136" s="21" t="n"/>
      <c r="I136" s="21" t="inlineStr">
        <is>
          <t>P</t>
        </is>
      </c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2">
        <f>SUM(E136:R136)</f>
        <v/>
      </c>
    </row>
    <row r="137">
      <c r="A137" s="17" t="inlineStr">
        <is>
          <t>14.5</t>
        </is>
      </c>
      <c r="B137" s="18" t="inlineStr">
        <is>
          <t>Suministro e instalación de Máquina biosaludable CICLA, instalado bajo sistema de empotramiento. Incluye perforación de plantilla de concreto de 40×40 cm con profundidad de 30–40 cm, suministro de cemento, arena, piedra y agua para relleno, aplome, nivelación y limpieza.</t>
        </is>
      </c>
      <c r="C137" s="19" t="n">
        <v>0.00398875808030295</v>
      </c>
      <c r="D137" s="20" t="n">
        <v>1</v>
      </c>
      <c r="E137" s="21" t="n"/>
      <c r="F137" s="21" t="n"/>
      <c r="G137" s="21" t="n"/>
      <c r="H137" s="21" t="n"/>
      <c r="I137" s="21" t="inlineStr">
        <is>
          <t>P</t>
        </is>
      </c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2">
        <f>SUM(E137:R137)</f>
        <v/>
      </c>
    </row>
    <row r="138">
      <c r="A138" s="17" t="inlineStr">
        <is>
          <t>14.6</t>
        </is>
      </c>
      <c r="B138" s="18" t="inlineStr">
        <is>
          <t>Suministro e instalación de Máquina biosaludable DOBLE SWINGER, instalado bajo sistema de empotramiento. Incluye perforación de plantilla de concreto de 40×40 cm con profundidad de 30–40 cm, suministro de cemento, arena, piedra y agua para relleno, aplome, nivelación y limpieza.</t>
        </is>
      </c>
      <c r="C138" s="19" t="n">
        <v>0.001994379040151475</v>
      </c>
      <c r="D138" s="20" t="n">
        <v>1</v>
      </c>
      <c r="E138" s="21" t="n"/>
      <c r="F138" s="21" t="n"/>
      <c r="G138" s="21" t="n"/>
      <c r="H138" s="21" t="n"/>
      <c r="I138" s="21" t="inlineStr">
        <is>
          <t>P</t>
        </is>
      </c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2">
        <f>SUM(E138:R138)</f>
        <v/>
      </c>
    </row>
    <row r="139">
      <c r="A139" s="12" t="inlineStr">
        <is>
          <t>15</t>
        </is>
      </c>
      <c r="B139" s="13" t="inlineStr">
        <is>
          <t>URBANISMO Y PAISAJISMO</t>
        </is>
      </c>
      <c r="C139" s="14">
        <f>SUM(C140:C147)</f>
        <v/>
      </c>
      <c r="D139" s="15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</row>
    <row r="140">
      <c r="A140" s="17" t="inlineStr">
        <is>
          <t>15.1</t>
        </is>
      </c>
      <c r="B140" s="18" t="inlineStr">
        <is>
          <t>SUMINISTRO E INSTALACIÓN DE ANDÉN EN CONCRETO CEPILLADO DE 4.000 PSI PREMEZCLADO, CON ESPESOR DE 15 CM.</t>
        </is>
      </c>
      <c r="C140" s="19" t="n">
        <v>0.01003518199939958</v>
      </c>
      <c r="D140" s="20" t="n">
        <v>1</v>
      </c>
      <c r="E140" s="21" t="n"/>
      <c r="F140" s="21" t="n"/>
      <c r="G140" s="21" t="n"/>
      <c r="H140" s="21" t="n"/>
      <c r="I140" s="21" t="inlineStr">
        <is>
          <t>P</t>
        </is>
      </c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2">
        <f>SUM(E140:R140)</f>
        <v/>
      </c>
    </row>
    <row r="141">
      <c r="A141" s="17" t="inlineStr">
        <is>
          <t>15.2</t>
        </is>
      </c>
      <c r="B141" s="18" t="inlineStr">
        <is>
          <t>EJECUCIÓN DE TRABAJOS DE EMBELLECIMIENTO Y EMPRADIZACIÓN EN LAS ÁREAS INTERVENIDAS.</t>
        </is>
      </c>
      <c r="C141" s="19" t="n">
        <v>0.02469127149902829</v>
      </c>
      <c r="D141" s="20" t="n">
        <v>7</v>
      </c>
      <c r="E141" s="21" t="n"/>
      <c r="F141" s="21" t="n"/>
      <c r="G141" s="21" t="n"/>
      <c r="H141" s="21" t="n"/>
      <c r="I141" s="21" t="inlineStr">
        <is>
          <t>P</t>
        </is>
      </c>
      <c r="J141" s="21" t="inlineStr">
        <is>
          <t>P</t>
        </is>
      </c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2">
        <f>SUM(E141:R141)</f>
        <v/>
      </c>
    </row>
    <row r="142">
      <c r="A142" s="17" t="inlineStr">
        <is>
          <t>15.3</t>
        </is>
      </c>
      <c r="B142" s="18" t="inlineStr">
        <is>
          <t>SUMINISTRO Y SIEMBRA DE ÁRBOL NATIVO TIPO CASSIA FISTULA, LLUVIA DE ORO, DE 1,00 A 1,50 M DE ALTURA.</t>
        </is>
      </c>
      <c r="C142" s="19" t="n">
        <v>0.004650774149340951</v>
      </c>
      <c r="D142" s="20" t="n">
        <v>2</v>
      </c>
      <c r="E142" s="21" t="n"/>
      <c r="F142" s="21" t="n"/>
      <c r="G142" s="21" t="n"/>
      <c r="H142" s="21" t="n"/>
      <c r="I142" s="21" t="inlineStr">
        <is>
          <t>P</t>
        </is>
      </c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2">
        <f>SUM(E142:R142)</f>
        <v/>
      </c>
    </row>
    <row r="143">
      <c r="A143" s="17" t="inlineStr">
        <is>
          <t>15.4</t>
        </is>
      </c>
      <c r="B143" s="18" t="inlineStr">
        <is>
          <t>SUMINISTRO E INSTALACIÓN DE BANCAS PARA ESPACIO PÚBLICO.</t>
        </is>
      </c>
      <c r="C143" s="19" t="n">
        <v>0.009495727657441638</v>
      </c>
      <c r="D143" s="20" t="n">
        <v>1</v>
      </c>
      <c r="E143" s="21" t="n"/>
      <c r="F143" s="21" t="n"/>
      <c r="G143" s="21" t="n"/>
      <c r="H143" s="21" t="n"/>
      <c r="I143" s="21" t="inlineStr">
        <is>
          <t>P</t>
        </is>
      </c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2">
        <f>SUM(E143:R143)</f>
        <v/>
      </c>
    </row>
    <row r="144">
      <c r="A144" s="17" t="inlineStr">
        <is>
          <t>15.5</t>
        </is>
      </c>
      <c r="B144" s="18" t="inlineStr">
        <is>
          <t>SUMINISTRO E INSTALACIÓN DE CANECAS DE BASURA TIPO BARCELONA/PIVOTANTE</t>
        </is>
      </c>
      <c r="C144" s="19" t="n">
        <v>0.003448934622081861</v>
      </c>
      <c r="D144" s="20" t="n">
        <v>1</v>
      </c>
      <c r="E144" s="21" t="n"/>
      <c r="F144" s="21" t="n"/>
      <c r="G144" s="21" t="n"/>
      <c r="H144" s="21" t="n"/>
      <c r="I144" s="21" t="inlineStr">
        <is>
          <t>P</t>
        </is>
      </c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2">
        <f>SUM(E144:R144)</f>
        <v/>
      </c>
    </row>
    <row r="145">
      <c r="A145" s="17" t="inlineStr">
        <is>
          <t>15.6</t>
        </is>
      </c>
      <c r="B145" s="18" t="inlineStr">
        <is>
          <t>SUMINISTRO E INSTALACIÓN DE LETRERO LUMINOSO DE SALIDA DE EMERGENCIA</t>
        </is>
      </c>
      <c r="C145" s="19" t="n">
        <v>0.0002813059245778109</v>
      </c>
      <c r="D145" s="20" t="n">
        <v>1</v>
      </c>
      <c r="E145" s="21" t="n"/>
      <c r="F145" s="21" t="n"/>
      <c r="G145" s="21" t="n"/>
      <c r="H145" s="21" t="n"/>
      <c r="I145" s="21" t="inlineStr">
        <is>
          <t>P</t>
        </is>
      </c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2">
        <f>SUM(E145:R145)</f>
        <v/>
      </c>
    </row>
    <row r="146">
      <c r="A146" s="17" t="inlineStr">
        <is>
          <t>15.7</t>
        </is>
      </c>
      <c r="B146" s="18" t="inlineStr">
        <is>
          <t>SUMINISTRO E INSTALACIÓN DE SEÑALIZACION EN ACRÍLICO PARA ESPACIOS EDIFICIOS SERVICIOS 0.30X0.15</t>
        </is>
      </c>
      <c r="C146" s="19" t="n">
        <v>0.0009599897107770365</v>
      </c>
      <c r="D146" s="20" t="n">
        <v>2</v>
      </c>
      <c r="E146" s="21" t="n"/>
      <c r="F146" s="21" t="n"/>
      <c r="G146" s="21" t="n"/>
      <c r="H146" s="21" t="n"/>
      <c r="I146" s="21" t="inlineStr">
        <is>
          <t>P</t>
        </is>
      </c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2">
        <f>SUM(E146:R146)</f>
        <v/>
      </c>
    </row>
    <row r="147">
      <c r="A147" s="17" t="inlineStr">
        <is>
          <t>15.8</t>
        </is>
      </c>
      <c r="B147" s="18" t="inlineStr">
        <is>
          <t>SUMINISTRO E INSTALACIÓN DE LAMINA SEÑALIZADORA/INFORMATIVA EN ACRILICO DE 0.80X1.50 M</t>
        </is>
      </c>
      <c r="C147" s="19" t="n">
        <v>0.0005183647934968224</v>
      </c>
      <c r="D147" s="20" t="n">
        <v>1</v>
      </c>
      <c r="E147" s="21" t="n"/>
      <c r="F147" s="21" t="n"/>
      <c r="G147" s="21" t="n"/>
      <c r="H147" s="21" t="n"/>
      <c r="I147" s="21" t="inlineStr">
        <is>
          <t>P</t>
        </is>
      </c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2">
        <f>SUM(E147:R147)</f>
        <v/>
      </c>
    </row>
    <row r="148">
      <c r="A148" s="12" t="inlineStr">
        <is>
          <t>16</t>
        </is>
      </c>
      <c r="B148" s="13" t="inlineStr">
        <is>
          <t>LIMPIEZA FINAL DE OBRA</t>
        </is>
      </c>
      <c r="C148" s="14">
        <f>SUM(C149:C149)</f>
        <v/>
      </c>
      <c r="D148" s="15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</row>
    <row r="149">
      <c r="A149" s="17" t="inlineStr">
        <is>
          <t>16.1</t>
        </is>
      </c>
      <c r="B149" s="18" t="inlineStr">
        <is>
          <t>EJECUCIÓN DE ASEO GENERAL, LIMPIEZA DE LAS ÁREAS INTERVENIDAS Y RETIRO DE MATERIALES SOBRANTES PARA LA ENTREGA FINAL DEL PROYECTO.</t>
        </is>
      </c>
      <c r="C149" s="19" t="n">
        <v>0.006179006245058151</v>
      </c>
      <c r="D149" s="20" t="n">
        <v>8</v>
      </c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inlineStr">
        <is>
          <t>P</t>
        </is>
      </c>
      <c r="R149" s="21" t="inlineStr">
        <is>
          <t>P</t>
        </is>
      </c>
      <c r="S149" s="22">
        <f>SUM(E149:R149)</f>
        <v/>
      </c>
    </row>
    <row r="151">
      <c r="B151" s="23" t="inlineStr">
        <is>
          <t>% AVANCE EJECUTADO SEMANAL</t>
        </is>
      </c>
      <c r="E151" s="24">
        <f>SUMPRODUCT($C$7:$C$149,E7:E149)</f>
        <v/>
      </c>
      <c r="F151" s="24">
        <f>SUMPRODUCT($C$7:$C$149,F7:F149)</f>
        <v/>
      </c>
      <c r="G151" s="24">
        <f>SUMPRODUCT($C$7:$C$149,G7:G149)</f>
        <v/>
      </c>
      <c r="H151" s="24">
        <f>SUMPRODUCT($C$7:$C$149,H7:H149)</f>
        <v/>
      </c>
      <c r="I151" s="24">
        <f>SUMPRODUCT($C$7:$C$149,I7:I149)</f>
        <v/>
      </c>
      <c r="J151" s="24">
        <f>SUMPRODUCT($C$7:$C$149,J7:J149)</f>
        <v/>
      </c>
      <c r="K151" s="24">
        <f>SUMPRODUCT($C$7:$C$149,K7:K149)</f>
        <v/>
      </c>
      <c r="L151" s="24">
        <f>SUMPRODUCT($C$7:$C$149,L7:L149)</f>
        <v/>
      </c>
      <c r="M151" s="24">
        <f>SUMPRODUCT($C$7:$C$149,M7:M149)</f>
        <v/>
      </c>
      <c r="N151" s="24">
        <f>SUMPRODUCT($C$7:$C$149,N7:N149)</f>
        <v/>
      </c>
      <c r="O151" s="24">
        <f>SUMPRODUCT($C$7:$C$149,O7:O149)</f>
        <v/>
      </c>
      <c r="P151" s="24">
        <f>SUMPRODUCT($C$7:$C$149,P7:P149)</f>
        <v/>
      </c>
      <c r="Q151" s="24">
        <f>SUMPRODUCT($C$7:$C$149,Q7:Q149)</f>
        <v/>
      </c>
      <c r="R151" s="24">
        <f>SUMPRODUCT($C$7:$C$149,R7:R149)</f>
        <v/>
      </c>
    </row>
    <row r="152">
      <c r="B152" s="23" t="inlineStr">
        <is>
          <t>% AVANCE EJECUTADO ACUMULADO</t>
        </is>
      </c>
      <c r="E152" s="24">
        <f>E151</f>
        <v/>
      </c>
      <c r="F152" s="24">
        <f>E152+F151</f>
        <v/>
      </c>
      <c r="G152" s="24">
        <f>F152+G151</f>
        <v/>
      </c>
      <c r="H152" s="24">
        <f>G152+H151</f>
        <v/>
      </c>
      <c r="I152" s="24">
        <f>H152+I151</f>
        <v/>
      </c>
      <c r="J152" s="24">
        <f>I152+J151</f>
        <v/>
      </c>
      <c r="K152" s="24">
        <f>J152+K151</f>
        <v/>
      </c>
      <c r="L152" s="24">
        <f>K152+L151</f>
        <v/>
      </c>
      <c r="M152" s="24">
        <f>L152+M151</f>
        <v/>
      </c>
      <c r="N152" s="24">
        <f>M152+N151</f>
        <v/>
      </c>
      <c r="O152" s="24">
        <f>N152+O151</f>
        <v/>
      </c>
      <c r="P152" s="24">
        <f>O152+P151</f>
        <v/>
      </c>
      <c r="Q152" s="24">
        <f>P152+Q151</f>
        <v/>
      </c>
      <c r="R152" s="24">
        <f>Q152+R151</f>
        <v/>
      </c>
      <c r="S152" s="25">
        <f>MAX(E152:R152)</f>
        <v/>
      </c>
    </row>
    <row r="153">
      <c r="B153" s="23" t="inlineStr">
        <is>
          <t>% AVANCE PROGRAMADO SEMANAL (LÍNEA BASE)</t>
        </is>
      </c>
      <c r="E153" s="24" t="n">
        <v>0.005432798387048396</v>
      </c>
      <c r="F153" s="24" t="n">
        <v>0.02552941367600974</v>
      </c>
      <c r="G153" s="24" t="n">
        <v>0.03441555124643336</v>
      </c>
      <c r="H153" s="24" t="n">
        <v>0.04139908168083772</v>
      </c>
      <c r="I153" s="24" t="n">
        <v>0.09522379269756046</v>
      </c>
      <c r="J153" s="24" t="n">
        <v>0.02330448829793537</v>
      </c>
      <c r="K153" s="24" t="n">
        <v>0.06577207393114769</v>
      </c>
      <c r="L153" s="24" t="n">
        <v>0.100233321333762</v>
      </c>
      <c r="M153" s="24" t="n">
        <v>0.08711177209645567</v>
      </c>
      <c r="N153" s="24" t="n">
        <v>0.1370548039853123</v>
      </c>
      <c r="O153" s="24" t="n">
        <v>0.2111435747304669</v>
      </c>
      <c r="P153" s="24" t="n">
        <v>0.1592412900418003</v>
      </c>
      <c r="Q153" s="24" t="n">
        <v>0.01259328633396554</v>
      </c>
      <c r="R153" s="24" t="n">
        <v>0.001544751561264538</v>
      </c>
    </row>
    <row r="154">
      <c r="B154" s="23" t="inlineStr">
        <is>
          <t>% AVANCE PROGRAMADO ACUMULADO (LÍNEA BASE)</t>
        </is>
      </c>
      <c r="E154" s="24" t="n">
        <v>0.005432798387048396</v>
      </c>
      <c r="F154" s="24" t="n">
        <v>0.03096221206305814</v>
      </c>
      <c r="G154" s="24" t="n">
        <v>0.06537776330949149</v>
      </c>
      <c r="H154" s="24" t="n">
        <v>0.1067768449903292</v>
      </c>
      <c r="I154" s="24" t="n">
        <v>0.2020006376878897</v>
      </c>
      <c r="J154" s="24" t="n">
        <v>0.225305125985825</v>
      </c>
      <c r="K154" s="24" t="n">
        <v>0.2910771999169727</v>
      </c>
      <c r="L154" s="24" t="n">
        <v>0.3913105212507347</v>
      </c>
      <c r="M154" s="24" t="n">
        <v>0.4784222933471904</v>
      </c>
      <c r="N154" s="24" t="n">
        <v>0.6154770973325027</v>
      </c>
      <c r="O154" s="24" t="n">
        <v>0.8266206720629696</v>
      </c>
      <c r="P154" s="24" t="n">
        <v>0.98586196210477</v>
      </c>
      <c r="Q154" s="24" t="n">
        <v>0.9984552484387355</v>
      </c>
      <c r="R154" s="24" t="n">
        <v>1</v>
      </c>
    </row>
  </sheetData>
  <mergeCells count="4">
    <mergeCell ref="E3:N3"/>
    <mergeCell ref="O4:P4"/>
    <mergeCell ref="O3:P3"/>
    <mergeCell ref="E4:N4"/>
  </mergeCells>
  <conditionalFormatting sqref="E7:R149">
    <cfRule type="expression" priority="1" dxfId="0">
      <formula>UPPER(TRIM(E7))="P"</formula>
    </cfRule>
    <cfRule type="expression" priority="2" dxfId="1">
      <formula>AND(ISNUMBER(E7),E7&gt;0)</formula>
    </cfRule>
  </conditionalFormatting>
  <conditionalFormatting sqref="S7:S149">
    <cfRule type="expression" priority="3" dxfId="2">
      <formula>S7&gt;1.0001</formula>
    </cfRule>
  </conditionalFormatting>
  <dataValidations count="1">
    <dataValidation sqref="E7:R149" showDropDown="0" showInputMessage="0" showErrorMessage="1" allowBlank="1" errorTitle="Valor no válido" error="Escriba el avance de la semana (por ejemplo 25%) o la letra P para programado." type="custom">
      <formula1>OR(E7="",UPPER(TRIM(E7))="P",AND(ISNUMBER(E7),E7&gt;=0,E7&lt;=1))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NMH Engineering S.A.S.</dc:creator>
  <dc:title xmlns:dc="http://purl.org/dc/elements/1.1/">Cronograma ejecutado</dc:title>
  <dcterms:created xmlns:dcterms="http://purl.org/dc/terms/" xmlns:xsi="http://www.w3.org/2001/XMLSchema-instance" xsi:type="dcterms:W3CDTF">2026-10-29T14:09:17Z</dcterms:created>
  <dcterms:modified xmlns:dcterms="http://purl.org/dc/terms/" xmlns:xsi="http://www.w3.org/2001/XMLSchema-instance" xsi:type="dcterms:W3CDTF">2026-10-29T14:09:17Z</dcterms:modified>
</cp:coreProperties>
</file>